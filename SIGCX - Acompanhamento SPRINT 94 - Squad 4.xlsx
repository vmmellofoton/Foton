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921125\Desktop\"/>
    </mc:Choice>
  </mc:AlternateContent>
  <xr:revisionPtr revIDLastSave="0" documentId="13_ncr:1_{CCD1456E-2DFB-4875-AC77-E6C35DEAD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85" sheetId="12" r:id="rId1"/>
    <sheet name="2 - Modelo Capacidade do Time" sheetId="2" state="hidden" r:id="rId2"/>
    <sheet name="2 - Exemplo de preenchimento" sheetId="4" state="hidden" r:id="rId3"/>
  </sheets>
  <definedNames>
    <definedName name="_xlnm._FilterDatabase" localSheetId="0" hidden="1">Sprint85!$A$9:$H$22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2" l="1"/>
</calcChain>
</file>

<file path=xl/sharedStrings.xml><?xml version="1.0" encoding="utf-8"?>
<sst xmlns="http://schemas.openxmlformats.org/spreadsheetml/2006/main" count="136" uniqueCount="86">
  <si>
    <t>SIGCX - Gerenciador Financeiro Pessoa Jurídica</t>
  </si>
  <si>
    <t>Data da Planning:</t>
  </si>
  <si>
    <t>Data início:</t>
  </si>
  <si>
    <t>dias úteis</t>
  </si>
  <si>
    <t>Data fim:</t>
  </si>
  <si>
    <t>Definição de Pronto:</t>
  </si>
  <si>
    <t>Demanda desenvolvida, conforme solicitado no item de backlog, testada e evidênciada em ambiente de desenvolvimento.</t>
  </si>
  <si>
    <t>Backlog da Sprint:</t>
  </si>
  <si>
    <t>SQUAD</t>
  </si>
  <si>
    <t>ID</t>
  </si>
  <si>
    <t>Descrição</t>
  </si>
  <si>
    <t>Tipo de Demanda</t>
  </si>
  <si>
    <t>Story Points</t>
  </si>
  <si>
    <t>Meta</t>
  </si>
  <si>
    <t>tipo</t>
  </si>
  <si>
    <t>Situação</t>
  </si>
  <si>
    <t>DEV</t>
  </si>
  <si>
    <t>QA</t>
  </si>
  <si>
    <t>Impedida?</t>
  </si>
  <si>
    <t>Recap</t>
  </si>
  <si>
    <t>Motivo Impedimento/Observções</t>
  </si>
  <si>
    <t>Resp. apresentar 
na review</t>
  </si>
  <si>
    <t xml:space="preserve">Ordem </t>
  </si>
  <si>
    <t>Ambiente</t>
  </si>
  <si>
    <t>Planejada</t>
  </si>
  <si>
    <t>Desenvolvimento</t>
  </si>
  <si>
    <t>Evolutiva</t>
  </si>
  <si>
    <t>4</t>
  </si>
  <si>
    <t>Anderson</t>
  </si>
  <si>
    <t>Lucas</t>
  </si>
  <si>
    <t>Fagner Cicero de Souza</t>
  </si>
  <si>
    <t>Moreno Barros Reis</t>
  </si>
  <si>
    <t>Arthur Passos Correa</t>
  </si>
  <si>
    <t>Luana Estevao dos Santos</t>
  </si>
  <si>
    <t>Gilson Ataliba de Faria</t>
  </si>
  <si>
    <t>Raphael Augusto Almeida Pereira</t>
  </si>
  <si>
    <t>Lucas Henrick Serpa de Oliveira</t>
  </si>
  <si>
    <t>Pedro Tulio Gomes Furtado</t>
  </si>
  <si>
    <t>Thayna Gomes da Luz Santos</t>
  </si>
  <si>
    <t>Everton Oliveira Bernaski</t>
  </si>
  <si>
    <t>Isaac Ramirez Andrade de Souza</t>
  </si>
  <si>
    <t>Kerollaine Cristina Lima de Sousa</t>
  </si>
  <si>
    <t>Sandra Forti Aleixo Amantea</t>
  </si>
  <si>
    <t>Scrum Master</t>
  </si>
  <si>
    <t>Gabriella Alexandra Ferreira Cavalcanti</t>
  </si>
  <si>
    <t>Thiago da Costa Pinto Frazao de Sousa</t>
  </si>
  <si>
    <t>Gustavo Nogueira Faria</t>
  </si>
  <si>
    <t>Capacidade do time</t>
  </si>
  <si>
    <t>SQUAD 1</t>
  </si>
  <si>
    <t>SQUAD 2</t>
  </si>
  <si>
    <t>SQUAD 3</t>
  </si>
  <si>
    <t>SQUAD 4</t>
  </si>
  <si>
    <t>SQUAD 5</t>
  </si>
  <si>
    <t>Desenvolvedores</t>
  </si>
  <si>
    <t>Analistas de teste</t>
  </si>
  <si>
    <t>Analista de Negócio</t>
  </si>
  <si>
    <t>UX</t>
  </si>
  <si>
    <t>Arquiteto de Software</t>
  </si>
  <si>
    <t>Integrante</t>
  </si>
  <si>
    <t>Status</t>
  </si>
  <si>
    <t>squad</t>
  </si>
  <si>
    <t>Luciano Aparecido Brito Guedes</t>
  </si>
  <si>
    <t>Lucas Martins Rangel</t>
  </si>
  <si>
    <t>Samuel Dantas Barbosa</t>
  </si>
  <si>
    <t>Vinicius Henrique Cazano</t>
  </si>
  <si>
    <t>Flavio Luna Ferreira</t>
  </si>
  <si>
    <t>Hugosanches Correia Praca Sobrinho</t>
  </si>
  <si>
    <t>SIGCX - Pix Automático - QR Code de pagamento e recorrência (Jornada 3) - Pendência e STM_jornada do pagador</t>
  </si>
  <si>
    <t>Arthur</t>
  </si>
  <si>
    <t>SIGCX - OpF - Pix Automático_Adesão sem débito imediato - Pendência e STM</t>
  </si>
  <si>
    <t>SIGCX - OpF (Fase 3) - Agendamento recorrente_Pendência e STM</t>
  </si>
  <si>
    <t>SIGCX - OpF - Pix Automático_Adesão com pagamento/agendamento - Pendência e STM</t>
  </si>
  <si>
    <t>Desejável</t>
  </si>
  <si>
    <t>Testes</t>
  </si>
  <si>
    <t>Thayná</t>
  </si>
  <si>
    <t>Impedimentos e dificuldades enfrentadas durante a sprint:</t>
  </si>
  <si>
    <t>Breve descrição</t>
  </si>
  <si>
    <t>Observações</t>
  </si>
  <si>
    <t>Data</t>
  </si>
  <si>
    <t>SIM</t>
  </si>
  <si>
    <t>PLANNING  -  Sprint 94</t>
  </si>
  <si>
    <t>SIGCX - Procuração Eletrônica_Permissões e acessos-Back.</t>
  </si>
  <si>
    <t>SIGCX - Procuração Eletrônica_Permissões e acessos-Front</t>
  </si>
  <si>
    <t>SIGCX - Procurador Consultor e Digitador_Desabilitar-Procuração</t>
  </si>
  <si>
    <t>SIGCX - Evolutiva_Procuração Eletrônica - Gestão de Acessos vigentes</t>
  </si>
  <si>
    <t>Lucas/Arthur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</si>
</sst>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666666"/>
      <name val="Calibri"/>
      <family val="2"/>
    </font>
    <font>
      <b/>
      <sz val="12"/>
      <color rgb="FFFFFFFF"/>
      <name val="Calibri"/>
      <family val="2"/>
    </font>
    <font>
      <b/>
      <sz val="9"/>
      <color rgb="FF666666"/>
      <name val="Calibri"/>
      <family val="2"/>
    </font>
    <font>
      <sz val="10"/>
      <color rgb="FF666666"/>
      <name val="Calibri"/>
      <family val="2"/>
    </font>
    <font>
      <sz val="10"/>
      <color theme="1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9"/>
      <color rgb="FFFFFFFF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rgb="FFFFFFFF"/>
      <name val="Calibri"/>
      <family val="2"/>
    </font>
    <font>
      <sz val="10"/>
      <color rgb="FF000000"/>
      <name val="Arial"/>
      <family val="2"/>
      <scheme val="minor"/>
    </font>
    <font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rgb="FFFF0000"/>
      <name val="Calibri"/>
      <family val="2"/>
    </font>
    <font>
      <u/>
      <sz val="10"/>
      <color rgb="FFFF0000"/>
      <name val="Calibri"/>
      <family val="2"/>
    </font>
    <font>
      <u/>
      <sz val="10"/>
      <color theme="8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u/>
      <sz val="10"/>
      <color rgb="FF000000"/>
      <name val="Arial"/>
      <scheme val="minor"/>
    </font>
    <font>
      <sz val="10"/>
      <color theme="8"/>
      <name val="Calibri"/>
      <family val="2"/>
    </font>
    <font>
      <sz val="10"/>
      <color rgb="FFFF6D01"/>
      <name val="Calibri"/>
      <family val="2"/>
    </font>
    <font>
      <sz val="10"/>
      <color rgb="FF000000"/>
      <name val="Arial"/>
      <family val="2"/>
      <scheme val="major"/>
    </font>
    <font>
      <sz val="9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0000"/>
        <bgColor rgb="FFBD0000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E699"/>
      </patternFill>
    </fill>
    <fill>
      <patternFill patternType="solid">
        <fgColor theme="4" tint="0.39997558519241921"/>
        <bgColor rgb="FFFFE599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FFE59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E599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DDEBF7"/>
      </patternFill>
    </fill>
  </fills>
  <borders count="6">
    <border>
      <left/>
      <right/>
      <top/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3">
    <xf numFmtId="0" fontId="0" fillId="0" borderId="0"/>
    <xf numFmtId="0" fontId="15" fillId="0" borderId="0"/>
    <xf numFmtId="0" fontId="1" fillId="0" borderId="0"/>
  </cellStyleXfs>
  <cellXfs count="137">
    <xf numFmtId="0" fontId="0" fillId="0" borderId="0" xfId="0"/>
    <xf numFmtId="14" fontId="6" fillId="4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right" vertical="center" wrapText="1"/>
    </xf>
    <xf numFmtId="0" fontId="6" fillId="6" borderId="0" xfId="0" applyFont="1" applyFill="1" applyAlignment="1">
      <alignment horizontal="center"/>
    </xf>
    <xf numFmtId="0" fontId="10" fillId="3" borderId="0" xfId="0" applyFont="1" applyFill="1" applyAlignment="1">
      <alignment horizontal="right" wrapText="1"/>
    </xf>
    <xf numFmtId="0" fontId="9" fillId="6" borderId="0" xfId="0" applyFont="1" applyFill="1"/>
    <xf numFmtId="0" fontId="9" fillId="2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8" fillId="12" borderId="0" xfId="0" applyFont="1" applyFill="1"/>
    <xf numFmtId="0" fontId="16" fillId="12" borderId="0" xfId="0" applyFont="1" applyFill="1" applyAlignment="1">
      <alignment horizontal="center" vertical="top"/>
    </xf>
    <xf numFmtId="0" fontId="8" fillId="13" borderId="0" xfId="0" applyFont="1" applyFill="1"/>
    <xf numFmtId="0" fontId="8" fillId="0" borderId="0" xfId="0" applyFont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2" borderId="0" xfId="0" applyFont="1" applyFill="1" applyAlignment="1">
      <alignment vertical="top"/>
    </xf>
    <xf numFmtId="0" fontId="14" fillId="3" borderId="0" xfId="0" applyFont="1" applyFill="1" applyAlignment="1">
      <alignment horizontal="center" vertical="top" wrapText="1"/>
    </xf>
    <xf numFmtId="0" fontId="15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8" fillId="12" borderId="4" xfId="0" applyFont="1" applyFill="1" applyBorder="1" applyAlignment="1">
      <alignment vertical="center"/>
    </xf>
    <xf numFmtId="0" fontId="8" fillId="13" borderId="4" xfId="0" applyFont="1" applyFill="1" applyBorder="1" applyAlignment="1">
      <alignment vertical="center"/>
    </xf>
    <xf numFmtId="0" fontId="17" fillId="12" borderId="0" xfId="0" applyFont="1" applyFill="1" applyAlignment="1">
      <alignment vertical="center" wrapText="1"/>
    </xf>
    <xf numFmtId="49" fontId="14" fillId="3" borderId="0" xfId="0" applyNumberFormat="1" applyFont="1" applyFill="1" applyAlignment="1">
      <alignment horizontal="center" vertical="top" wrapText="1"/>
    </xf>
    <xf numFmtId="14" fontId="14" fillId="3" borderId="0" xfId="0" applyNumberFormat="1" applyFont="1" applyFill="1" applyAlignment="1">
      <alignment horizontal="center" vertical="top" wrapText="1"/>
    </xf>
    <xf numFmtId="0" fontId="16" fillId="12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12" borderId="0" xfId="0" applyFont="1" applyFill="1" applyAlignment="1">
      <alignment horizontal="left"/>
    </xf>
    <xf numFmtId="0" fontId="8" fillId="13" borderId="0" xfId="0" applyFont="1" applyFill="1" applyAlignment="1">
      <alignment horizontal="left"/>
    </xf>
    <xf numFmtId="0" fontId="8" fillId="12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/>
    </xf>
    <xf numFmtId="0" fontId="23" fillId="0" borderId="0" xfId="0" applyFont="1"/>
    <xf numFmtId="0" fontId="8" fillId="1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top" wrapText="1"/>
    </xf>
    <xf numFmtId="0" fontId="8" fillId="10" borderId="5" xfId="0" applyFont="1" applyFill="1" applyBorder="1" applyAlignment="1">
      <alignment horizontal="center" vertical="top"/>
    </xf>
    <xf numFmtId="0" fontId="6" fillId="8" borderId="5" xfId="0" applyFont="1" applyFill="1" applyBorder="1" applyAlignment="1">
      <alignment vertical="top"/>
    </xf>
    <xf numFmtId="0" fontId="8" fillId="0" borderId="5" xfId="0" applyFont="1" applyBorder="1" applyAlignment="1">
      <alignment horizontal="center"/>
    </xf>
    <xf numFmtId="0" fontId="21" fillId="11" borderId="5" xfId="0" applyFont="1" applyFill="1" applyBorder="1" applyAlignment="1">
      <alignment horizontal="center" vertical="top"/>
    </xf>
    <xf numFmtId="0" fontId="8" fillId="8" borderId="5" xfId="0" applyFont="1" applyFill="1" applyBorder="1"/>
    <xf numFmtId="0" fontId="13" fillId="11" borderId="5" xfId="0" applyFont="1" applyFill="1" applyBorder="1" applyAlignment="1">
      <alignment horizontal="center" vertical="top"/>
    </xf>
    <xf numFmtId="0" fontId="6" fillId="14" borderId="5" xfId="0" applyFont="1" applyFill="1" applyBorder="1" applyAlignment="1">
      <alignment horizontal="center" vertical="top"/>
    </xf>
    <xf numFmtId="0" fontId="8" fillId="16" borderId="5" xfId="0" applyFont="1" applyFill="1" applyBorder="1" applyAlignment="1">
      <alignment vertical="top"/>
    </xf>
    <xf numFmtId="0" fontId="11" fillId="0" borderId="5" xfId="0" applyFont="1" applyBorder="1" applyAlignment="1">
      <alignment vertical="top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/>
    </xf>
    <xf numFmtId="0" fontId="19" fillId="0" borderId="5" xfId="0" applyFont="1" applyBorder="1" applyAlignment="1">
      <alignment horizontal="center" vertical="top"/>
    </xf>
    <xf numFmtId="0" fontId="11" fillId="0" borderId="5" xfId="0" applyFont="1" applyBorder="1" applyAlignment="1">
      <alignment vertical="top" wrapText="1"/>
    </xf>
    <xf numFmtId="0" fontId="11" fillId="0" borderId="5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8" borderId="5" xfId="0" applyFont="1" applyFill="1" applyBorder="1" applyAlignment="1">
      <alignment horizontal="center" vertical="top"/>
    </xf>
    <xf numFmtId="0" fontId="18" fillId="8" borderId="5" xfId="0" applyFont="1" applyFill="1" applyBorder="1" applyAlignment="1">
      <alignment horizontal="center" vertical="top"/>
    </xf>
    <xf numFmtId="0" fontId="8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15" borderId="5" xfId="0" applyFont="1" applyFill="1" applyBorder="1"/>
    <xf numFmtId="0" fontId="8" fillId="8" borderId="5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top"/>
    </xf>
    <xf numFmtId="49" fontId="6" fillId="5" borderId="5" xfId="0" applyNumberFormat="1" applyFont="1" applyFill="1" applyBorder="1" applyAlignment="1">
      <alignment horizontal="center" vertical="top"/>
    </xf>
    <xf numFmtId="0" fontId="20" fillId="0" borderId="5" xfId="0" applyFont="1" applyBorder="1" applyAlignment="1">
      <alignment horizontal="center" vertical="top"/>
    </xf>
    <xf numFmtId="0" fontId="11" fillId="8" borderId="5" xfId="0" applyFont="1" applyFill="1" applyBorder="1" applyAlignment="1">
      <alignment horizontal="center"/>
    </xf>
    <xf numFmtId="0" fontId="24" fillId="0" borderId="5" xfId="0" applyFont="1" applyBorder="1" applyAlignment="1">
      <alignment horizontal="center" vertical="top"/>
    </xf>
    <xf numFmtId="49" fontId="6" fillId="17" borderId="5" xfId="0" applyNumberFormat="1" applyFont="1" applyFill="1" applyBorder="1" applyAlignment="1">
      <alignment horizontal="center" vertical="top"/>
    </xf>
    <xf numFmtId="0" fontId="8" fillId="8" borderId="5" xfId="0" applyFont="1" applyFill="1" applyBorder="1" applyAlignment="1">
      <alignment vertical="top" wrapText="1"/>
    </xf>
    <xf numFmtId="0" fontId="8" fillId="8" borderId="5" xfId="0" applyFont="1" applyFill="1" applyBorder="1" applyAlignment="1">
      <alignment horizontal="center" vertical="top" wrapText="1"/>
    </xf>
    <xf numFmtId="49" fontId="6" fillId="18" borderId="5" xfId="0" applyNumberFormat="1" applyFont="1" applyFill="1" applyBorder="1" applyAlignment="1">
      <alignment horizontal="center" vertical="top"/>
    </xf>
    <xf numFmtId="0" fontId="22" fillId="8" borderId="5" xfId="0" applyFont="1" applyFill="1" applyBorder="1" applyAlignment="1">
      <alignment vertical="top"/>
    </xf>
    <xf numFmtId="0" fontId="8" fillId="15" borderId="5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 vertical="top"/>
    </xf>
    <xf numFmtId="0" fontId="8" fillId="8" borderId="0" xfId="1" applyFont="1" applyFill="1" applyAlignment="1">
      <alignment horizontal="center" vertical="top"/>
    </xf>
    <xf numFmtId="0" fontId="11" fillId="9" borderId="0" xfId="0" applyFont="1" applyFill="1" applyAlignment="1">
      <alignment horizontal="center" vertical="top"/>
    </xf>
    <xf numFmtId="0" fontId="8" fillId="8" borderId="0" xfId="0" applyFont="1" applyFill="1" applyAlignment="1">
      <alignment horizontal="center" vertical="top"/>
    </xf>
    <xf numFmtId="0" fontId="8" fillId="9" borderId="0" xfId="0" applyFont="1" applyFill="1" applyAlignment="1">
      <alignment vertical="top" wrapText="1"/>
    </xf>
    <xf numFmtId="0" fontId="15" fillId="8" borderId="0" xfId="0" applyFont="1" applyFill="1" applyAlignment="1">
      <alignment vertical="top"/>
    </xf>
    <xf numFmtId="0" fontId="8" fillId="18" borderId="0" xfId="0" applyFont="1" applyFill="1" applyAlignment="1">
      <alignment vertical="top"/>
    </xf>
    <xf numFmtId="0" fontId="8" fillId="8" borderId="0" xfId="1" applyFont="1" applyFill="1" applyAlignment="1">
      <alignment vertical="top"/>
    </xf>
    <xf numFmtId="0" fontId="8" fillId="8" borderId="0" xfId="0" applyFont="1" applyFill="1"/>
    <xf numFmtId="0" fontId="20" fillId="8" borderId="0" xfId="0" applyFont="1" applyFill="1" applyAlignment="1">
      <alignment horizontal="center" vertical="top"/>
    </xf>
    <xf numFmtId="0" fontId="6" fillId="19" borderId="5" xfId="0" applyFont="1" applyFill="1" applyBorder="1" applyAlignment="1">
      <alignment vertical="top"/>
    </xf>
    <xf numFmtId="0" fontId="25" fillId="0" borderId="5" xfId="0" applyFont="1" applyBorder="1" applyAlignment="1">
      <alignment horizontal="center"/>
    </xf>
    <xf numFmtId="0" fontId="8" fillId="0" borderId="5" xfId="0" applyFont="1" applyBorder="1" applyAlignment="1">
      <alignment wrapText="1"/>
    </xf>
    <xf numFmtId="0" fontId="11" fillId="10" borderId="5" xfId="0" applyFont="1" applyFill="1" applyBorder="1" applyAlignment="1">
      <alignment horizontal="center" vertical="top"/>
    </xf>
    <xf numFmtId="0" fontId="15" fillId="8" borderId="0" xfId="0" applyFont="1" applyFill="1" applyAlignment="1">
      <alignment horizontal="center"/>
    </xf>
    <xf numFmtId="0" fontId="26" fillId="8" borderId="0" xfId="0" applyFont="1" applyFill="1"/>
    <xf numFmtId="0" fontId="8" fillId="0" borderId="0" xfId="0" applyFont="1" applyAlignment="1">
      <alignment horizontal="center"/>
    </xf>
    <xf numFmtId="0" fontId="8" fillId="18" borderId="5" xfId="0" applyFont="1" applyFill="1" applyBorder="1" applyAlignment="1">
      <alignment vertical="top"/>
    </xf>
    <xf numFmtId="0" fontId="8" fillId="18" borderId="5" xfId="0" applyFont="1" applyFill="1" applyBorder="1"/>
    <xf numFmtId="0" fontId="8" fillId="20" borderId="5" xfId="0" applyFont="1" applyFill="1" applyBorder="1"/>
    <xf numFmtId="0" fontId="7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top"/>
    </xf>
    <xf numFmtId="49" fontId="8" fillId="2" borderId="0" xfId="0" applyNumberFormat="1" applyFont="1" applyFill="1" applyAlignment="1">
      <alignment horizontal="left" vertical="top"/>
    </xf>
    <xf numFmtId="0" fontId="2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16" fontId="6" fillId="2" borderId="0" xfId="0" applyNumberFormat="1" applyFont="1" applyFill="1" applyAlignment="1">
      <alignment horizontal="center" vertical="top"/>
    </xf>
    <xf numFmtId="0" fontId="8" fillId="21" borderId="0" xfId="0" applyFont="1" applyFill="1" applyAlignment="1">
      <alignment horizontal="center"/>
    </xf>
    <xf numFmtId="49" fontId="8" fillId="22" borderId="0" xfId="0" applyNumberFormat="1" applyFont="1" applyFill="1" applyAlignment="1">
      <alignment horizontal="center" vertical="top"/>
    </xf>
    <xf numFmtId="0" fontId="0" fillId="0" borderId="0" xfId="0"/>
    <xf numFmtId="0" fontId="8" fillId="0" borderId="0" xfId="0" applyFont="1" applyAlignment="1">
      <alignment horizontal="center"/>
    </xf>
    <xf numFmtId="0" fontId="27" fillId="2" borderId="0" xfId="0" applyFont="1" applyFill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0" fillId="0" borderId="0" xfId="0"/>
    <xf numFmtId="49" fontId="7" fillId="3" borderId="0" xfId="0" applyNumberFormat="1" applyFont="1" applyFill="1" applyAlignment="1">
      <alignment horizontal="center" vertical="center" wrapText="1"/>
    </xf>
    <xf numFmtId="49" fontId="7" fillId="3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0" fillId="0" borderId="0" xfId="0" applyAlignment="1"/>
    <xf numFmtId="0" fontId="5" fillId="2" borderId="0" xfId="0" applyFont="1" applyFill="1" applyAlignment="1">
      <alignment horizontal="left"/>
    </xf>
    <xf numFmtId="14" fontId="6" fillId="4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15" fillId="0" borderId="0" xfId="0" applyFont="1" applyAlignment="1"/>
    <xf numFmtId="0" fontId="3" fillId="3" borderId="0" xfId="0" applyFont="1" applyFill="1" applyAlignment="1">
      <alignment horizontal="center" wrapText="1"/>
    </xf>
    <xf numFmtId="14" fontId="5" fillId="2" borderId="1" xfId="0" applyNumberFormat="1" applyFont="1" applyFill="1" applyBorder="1" applyAlignment="1">
      <alignment horizontal="left"/>
    </xf>
    <xf numFmtId="14" fontId="5" fillId="2" borderId="0" xfId="0" applyNumberFormat="1" applyFont="1" applyFill="1" applyAlignment="1">
      <alignment horizontal="left"/>
    </xf>
    <xf numFmtId="3" fontId="4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right" vertical="center" wrapText="1"/>
    </xf>
    <xf numFmtId="0" fontId="6" fillId="6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8" fillId="23" borderId="0" xfId="0" applyFont="1" applyFill="1" applyAlignment="1">
      <alignment horizontal="center"/>
    </xf>
    <xf numFmtId="0" fontId="8" fillId="23" borderId="0" xfId="0" applyFont="1" applyFill="1" applyAlignment="1">
      <alignment horizontal="left"/>
    </xf>
    <xf numFmtId="0" fontId="8" fillId="9" borderId="0" xfId="0" applyFont="1" applyFill="1" applyAlignment="1">
      <alignment horizontal="center"/>
    </xf>
    <xf numFmtId="0" fontId="8" fillId="9" borderId="0" xfId="0" applyFont="1" applyFill="1"/>
    <xf numFmtId="0" fontId="8" fillId="23" borderId="0" xfId="0" applyFont="1" applyFill="1"/>
    <xf numFmtId="0" fontId="8" fillId="9" borderId="0" xfId="0" applyFont="1" applyFill="1" applyAlignment="1">
      <alignment horizontal="left"/>
    </xf>
  </cellXfs>
  <cellStyles count="3">
    <cellStyle name="Normal" xfId="0" builtinId="0"/>
    <cellStyle name="Normal 2" xfId="1" xr:uid="{5E7A51CB-3C0D-4545-AFF1-9BB4E74AF9DE}"/>
    <cellStyle name="Normal 3" xfId="2" xr:uid="{0B02D0CC-89D2-47EA-8B1E-3479B21AD33B}"/>
  </cellStyles>
  <dxfs count="30"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493058</xdr:colOff>
      <xdr:row>0</xdr:row>
      <xdr:rowOff>60511</xdr:rowOff>
    </xdr:from>
    <xdr:ext cx="1504950" cy="5048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F6A97129-A9AB-46BA-980C-F57F1E24AF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04176" y="60511"/>
          <a:ext cx="15049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0</xdr:rowOff>
    </xdr:from>
    <xdr:ext cx="762000" cy="6572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304F3A2F-1A3C-47B6-83D9-8A238B4F92B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" y="0"/>
          <a:ext cx="762000" cy="657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23</xdr:row>
      <xdr:rowOff>305302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A4613130-86BD-0038-8359-E6655A43A86D}"/>
            </a:ext>
          </a:extLst>
        </xdr:cNvPr>
        <xdr:cNvSpPr>
          <a:spLocks noChangeAspect="1" noChangeArrowheads="1"/>
        </xdr:cNvSpPr>
      </xdr:nvSpPr>
      <xdr:spPr bwMode="auto">
        <a:xfrm>
          <a:off x="1160145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104777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DF459EF8-9211-E659-90E4-48020ED2A9D1}"/>
            </a:ext>
          </a:extLst>
        </xdr:cNvPr>
        <xdr:cNvSpPr>
          <a:spLocks noChangeAspect="1" noChangeArrowheads="1"/>
        </xdr:cNvSpPr>
      </xdr:nvSpPr>
      <xdr:spPr bwMode="auto">
        <a:xfrm>
          <a:off x="775368" y="4846051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23</xdr:row>
      <xdr:rowOff>0</xdr:rowOff>
    </xdr:from>
    <xdr:ext cx="304800" cy="305303"/>
    <xdr:sp macro="" textlink="">
      <xdr:nvSpPr>
        <xdr:cNvPr id="4" name="AutoShape 27">
          <a:extLst>
            <a:ext uri="{FF2B5EF4-FFF2-40B4-BE49-F238E27FC236}">
              <a16:creationId xmlns:a16="http://schemas.microsoft.com/office/drawing/2014/main" id="{978AE9BC-BC30-4B52-8911-E3E297FCDB69}"/>
            </a:ext>
          </a:extLst>
        </xdr:cNvPr>
        <xdr:cNvSpPr>
          <a:spLocks noChangeAspect="1" noChangeArrowheads="1"/>
        </xdr:cNvSpPr>
      </xdr:nvSpPr>
      <xdr:spPr bwMode="auto">
        <a:xfrm>
          <a:off x="1216526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5" name="AutoShape 27">
          <a:extLst>
            <a:ext uri="{FF2B5EF4-FFF2-40B4-BE49-F238E27FC236}">
              <a16:creationId xmlns:a16="http://schemas.microsoft.com/office/drawing/2014/main" id="{73B5B611-2A92-4984-8DD9-2DAFEC7F9BE7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6" name="AutoShape 27">
          <a:extLst>
            <a:ext uri="{FF2B5EF4-FFF2-40B4-BE49-F238E27FC236}">
              <a16:creationId xmlns:a16="http://schemas.microsoft.com/office/drawing/2014/main" id="{1004D54B-EB7B-4225-87FD-D7709E951AA9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7" name="AutoShape 27">
          <a:extLst>
            <a:ext uri="{FF2B5EF4-FFF2-40B4-BE49-F238E27FC236}">
              <a16:creationId xmlns:a16="http://schemas.microsoft.com/office/drawing/2014/main" id="{4356A953-5F49-4C79-91DD-A20ABC8F8F61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8" name="AutoShape 27">
          <a:extLst>
            <a:ext uri="{FF2B5EF4-FFF2-40B4-BE49-F238E27FC236}">
              <a16:creationId xmlns:a16="http://schemas.microsoft.com/office/drawing/2014/main" id="{444E1C08-0771-40DB-9FE5-5A4B0F5CFCC8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9" name="AutoShape 27">
          <a:extLst>
            <a:ext uri="{FF2B5EF4-FFF2-40B4-BE49-F238E27FC236}">
              <a16:creationId xmlns:a16="http://schemas.microsoft.com/office/drawing/2014/main" id="{A5AC6379-4216-4FBF-9F56-9D2B38E8E076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0" name="AutoShape 27">
          <a:extLst>
            <a:ext uri="{FF2B5EF4-FFF2-40B4-BE49-F238E27FC236}">
              <a16:creationId xmlns:a16="http://schemas.microsoft.com/office/drawing/2014/main" id="{DF3A031E-1E9C-45BB-A13C-857203BF0D8F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1" name="AutoShape 27">
          <a:extLst>
            <a:ext uri="{FF2B5EF4-FFF2-40B4-BE49-F238E27FC236}">
              <a16:creationId xmlns:a16="http://schemas.microsoft.com/office/drawing/2014/main" id="{E14BB528-329A-43C4-8B39-9CDADCCC9300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2" name="AutoShape 27">
          <a:extLst>
            <a:ext uri="{FF2B5EF4-FFF2-40B4-BE49-F238E27FC236}">
              <a16:creationId xmlns:a16="http://schemas.microsoft.com/office/drawing/2014/main" id="{E9D3D4BC-E3BB-4565-A25A-A25E02859417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3" name="AutoShape 27">
          <a:extLst>
            <a:ext uri="{FF2B5EF4-FFF2-40B4-BE49-F238E27FC236}">
              <a16:creationId xmlns:a16="http://schemas.microsoft.com/office/drawing/2014/main" id="{31F80946-CCD6-40AD-AFEA-8B147608B6AE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4" name="AutoShape 27">
          <a:extLst>
            <a:ext uri="{FF2B5EF4-FFF2-40B4-BE49-F238E27FC236}">
              <a16:creationId xmlns:a16="http://schemas.microsoft.com/office/drawing/2014/main" id="{ADC0E315-00EF-4F72-AF76-B5EB12A5297F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5" name="AutoShape 27">
          <a:extLst>
            <a:ext uri="{FF2B5EF4-FFF2-40B4-BE49-F238E27FC236}">
              <a16:creationId xmlns:a16="http://schemas.microsoft.com/office/drawing/2014/main" id="{45F2BC1D-D18A-4261-B966-292A46017F09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6" name="AutoShape 27">
          <a:extLst>
            <a:ext uri="{FF2B5EF4-FFF2-40B4-BE49-F238E27FC236}">
              <a16:creationId xmlns:a16="http://schemas.microsoft.com/office/drawing/2014/main" id="{10C97CF2-6D09-4A1A-8357-24C94A695E80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7" name="AutoShape 27">
          <a:extLst>
            <a:ext uri="{FF2B5EF4-FFF2-40B4-BE49-F238E27FC236}">
              <a16:creationId xmlns:a16="http://schemas.microsoft.com/office/drawing/2014/main" id="{D9E5073A-4426-42AB-8F4A-8FAB7F36EE71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8" name="AutoShape 27">
          <a:extLst>
            <a:ext uri="{FF2B5EF4-FFF2-40B4-BE49-F238E27FC236}">
              <a16:creationId xmlns:a16="http://schemas.microsoft.com/office/drawing/2014/main" id="{ABCC0CDB-B16F-4601-8461-C46E2E5A762C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9" name="AutoShape 27">
          <a:extLst>
            <a:ext uri="{FF2B5EF4-FFF2-40B4-BE49-F238E27FC236}">
              <a16:creationId xmlns:a16="http://schemas.microsoft.com/office/drawing/2014/main" id="{6D5DE0B2-9625-450B-9AC7-9EC62595FF66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20" name="AutoShape 27">
          <a:extLst>
            <a:ext uri="{FF2B5EF4-FFF2-40B4-BE49-F238E27FC236}">
              <a16:creationId xmlns:a16="http://schemas.microsoft.com/office/drawing/2014/main" id="{24172C45-D156-4C55-BF21-DB00C1CDF955}"/>
            </a:ext>
          </a:extLst>
        </xdr:cNvPr>
        <xdr:cNvSpPr>
          <a:spLocks noChangeAspect="1" noChangeArrowheads="1"/>
        </xdr:cNvSpPr>
      </xdr:nvSpPr>
      <xdr:spPr bwMode="auto">
        <a:xfrm>
          <a:off x="1370263" y="4765842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DF1F-06E9-40AD-A320-8A9B138A6A0F}">
  <sheetPr>
    <outlinePr summaryBelow="0" summaryRight="0"/>
  </sheetPr>
  <dimension ref="A1:U35"/>
  <sheetViews>
    <sheetView showGridLines="0" tabSelected="1" topLeftCell="B1" zoomScale="114" zoomScaleNormal="114" workbookViewId="0">
      <selection activeCell="I16" sqref="I16"/>
    </sheetView>
  </sheetViews>
  <sheetFormatPr defaultColWidth="12.5546875" defaultRowHeight="15.75" customHeight="1" x14ac:dyDescent="0.3"/>
  <cols>
    <col min="1" max="1" width="10" customWidth="1"/>
    <col min="2" max="2" width="12.6640625" style="22" customWidth="1"/>
    <col min="3" max="3" width="77" customWidth="1"/>
    <col min="4" max="4" width="12.88671875" customWidth="1"/>
    <col min="5" max="5" width="6.6640625" style="15" customWidth="1"/>
    <col min="6" max="6" width="7.44140625" customWidth="1"/>
    <col min="7" max="7" width="12" style="22" customWidth="1"/>
    <col min="8" max="8" width="20.88671875" customWidth="1"/>
    <col min="9" max="9" width="13.88671875" style="32" customWidth="1"/>
    <col min="10" max="10" width="8.5546875" style="9" customWidth="1"/>
    <col min="11" max="11" width="8.33203125" style="9" customWidth="1"/>
    <col min="12" max="12" width="37.88671875" style="9" customWidth="1"/>
    <col min="13" max="13" width="59.33203125" style="9" customWidth="1"/>
    <col min="14" max="14" width="11.109375" style="23" customWidth="1"/>
    <col min="15" max="15" width="6.5546875" style="15" bestFit="1" customWidth="1"/>
    <col min="16" max="16" width="17.5546875" style="15" customWidth="1"/>
    <col min="17" max="17" width="101.88671875" customWidth="1"/>
    <col min="18" max="18" width="11.5546875" customWidth="1"/>
    <col min="19" max="21" width="12.5546875" hidden="1" customWidth="1"/>
  </cols>
  <sheetData>
    <row r="1" spans="1:18" ht="54" customHeight="1" x14ac:dyDescent="0.3">
      <c r="A1" s="117" t="s">
        <v>0</v>
      </c>
      <c r="B1" s="118"/>
      <c r="C1" s="118"/>
      <c r="D1" s="118"/>
      <c r="E1" s="118"/>
      <c r="F1" s="118"/>
      <c r="G1" s="118"/>
      <c r="H1" s="118"/>
      <c r="I1" s="37"/>
      <c r="K1" s="11"/>
      <c r="L1" s="11"/>
      <c r="P1" s="31"/>
    </row>
    <row r="2" spans="1:18" ht="13.5" customHeight="1" x14ac:dyDescent="0.3">
      <c r="A2" s="119" t="s">
        <v>80</v>
      </c>
      <c r="B2" s="119"/>
      <c r="C2" s="119"/>
      <c r="D2" s="119"/>
      <c r="E2" s="119"/>
      <c r="F2" s="119"/>
      <c r="G2" s="119"/>
      <c r="H2" s="119"/>
      <c r="I2" s="33"/>
      <c r="J2" s="12"/>
      <c r="K2" s="12"/>
      <c r="L2" s="12"/>
      <c r="M2" s="12"/>
      <c r="N2" s="24"/>
      <c r="O2" s="16"/>
      <c r="P2" s="16"/>
      <c r="Q2" s="10"/>
    </row>
    <row r="3" spans="1:18" ht="13.8" x14ac:dyDescent="0.3">
      <c r="A3" s="111" t="s">
        <v>1</v>
      </c>
      <c r="B3" s="112"/>
      <c r="C3" s="120">
        <v>45950</v>
      </c>
      <c r="D3" s="120"/>
      <c r="E3" s="120"/>
      <c r="F3" s="120"/>
      <c r="G3" s="120"/>
      <c r="H3" s="120"/>
    </row>
    <row r="4" spans="1:18" ht="13.8" x14ac:dyDescent="0.3">
      <c r="A4" s="111" t="s">
        <v>2</v>
      </c>
      <c r="B4" s="112"/>
      <c r="C4" s="121">
        <v>45950</v>
      </c>
      <c r="D4" s="112"/>
      <c r="E4" s="122">
        <f>NETWORKDAYS(C4, C5, 0)-1</f>
        <v>14</v>
      </c>
      <c r="F4" s="124" t="s">
        <v>3</v>
      </c>
      <c r="G4" s="118"/>
      <c r="H4" s="118"/>
      <c r="J4" s="11"/>
      <c r="Q4" s="10"/>
    </row>
    <row r="5" spans="1:18" ht="13.8" x14ac:dyDescent="0.3">
      <c r="A5" s="111" t="s">
        <v>4</v>
      </c>
      <c r="B5" s="112"/>
      <c r="C5" s="121">
        <v>45968</v>
      </c>
      <c r="D5" s="112"/>
      <c r="E5" s="123"/>
      <c r="F5" s="118"/>
      <c r="G5" s="118"/>
      <c r="H5" s="118"/>
      <c r="Q5" s="21"/>
    </row>
    <row r="6" spans="1:18" ht="13.8" x14ac:dyDescent="0.3">
      <c r="A6" s="111" t="s">
        <v>5</v>
      </c>
      <c r="B6" s="112"/>
      <c r="C6" s="113" t="s">
        <v>6</v>
      </c>
      <c r="D6" s="112"/>
      <c r="E6" s="112"/>
      <c r="F6" s="112"/>
      <c r="G6" s="112"/>
      <c r="H6" s="112"/>
      <c r="O6" s="17"/>
      <c r="Q6" s="10"/>
    </row>
    <row r="7" spans="1:18" ht="6.75" customHeight="1" x14ac:dyDescent="0.3">
      <c r="A7" s="114"/>
      <c r="B7" s="114"/>
      <c r="C7" s="114"/>
      <c r="D7" s="114"/>
      <c r="E7" s="114"/>
      <c r="F7" s="114"/>
      <c r="G7" s="114"/>
      <c r="H7" s="114"/>
      <c r="I7" s="34"/>
      <c r="J7" s="14"/>
      <c r="K7" s="14"/>
      <c r="L7" s="14"/>
      <c r="M7" s="14"/>
      <c r="N7" s="25"/>
      <c r="O7" s="18"/>
      <c r="P7" s="18"/>
    </row>
    <row r="8" spans="1:18" ht="12.75" customHeight="1" x14ac:dyDescent="0.25">
      <c r="A8" s="115" t="s">
        <v>7</v>
      </c>
      <c r="B8" s="116"/>
      <c r="C8" s="116"/>
      <c r="D8" s="116"/>
      <c r="E8" s="116"/>
      <c r="F8" s="116"/>
      <c r="G8" s="116"/>
      <c r="H8" s="116"/>
      <c r="I8" s="35"/>
      <c r="J8" s="19"/>
      <c r="K8" s="19"/>
      <c r="L8" s="19"/>
      <c r="M8" s="19"/>
      <c r="N8" s="26"/>
      <c r="O8" s="13"/>
      <c r="P8" s="13"/>
      <c r="Q8" s="21"/>
    </row>
    <row r="9" spans="1:18" ht="24" customHeight="1" x14ac:dyDescent="0.25">
      <c r="A9" s="27" t="s">
        <v>8</v>
      </c>
      <c r="B9" s="28" t="s">
        <v>9</v>
      </c>
      <c r="C9" s="20" t="s">
        <v>10</v>
      </c>
      <c r="D9" s="20" t="s">
        <v>11</v>
      </c>
      <c r="E9" s="20" t="s">
        <v>12</v>
      </c>
      <c r="F9" s="20" t="s">
        <v>13</v>
      </c>
      <c r="G9" s="20" t="s">
        <v>14</v>
      </c>
      <c r="H9" s="20" t="s">
        <v>15</v>
      </c>
      <c r="I9" s="36" t="s">
        <v>16</v>
      </c>
      <c r="J9" s="20" t="s">
        <v>17</v>
      </c>
      <c r="K9" s="20" t="s">
        <v>18</v>
      </c>
      <c r="L9" s="20" t="s">
        <v>19</v>
      </c>
      <c r="M9" s="20" t="s">
        <v>20</v>
      </c>
      <c r="N9" s="29" t="s">
        <v>21</v>
      </c>
      <c r="O9" s="20" t="s">
        <v>22</v>
      </c>
      <c r="P9" s="20" t="s">
        <v>23</v>
      </c>
      <c r="Q9" s="38"/>
    </row>
    <row r="10" spans="1:18" s="9" customFormat="1" ht="13.5" customHeight="1" x14ac:dyDescent="0.3">
      <c r="A10" s="39"/>
      <c r="B10" s="39"/>
      <c r="C10" s="63"/>
      <c r="D10" s="41"/>
      <c r="E10" s="47"/>
      <c r="F10" s="42"/>
      <c r="G10" s="46"/>
      <c r="H10" s="46"/>
      <c r="I10" s="56"/>
      <c r="J10" s="51"/>
      <c r="K10" s="52"/>
      <c r="L10" s="52"/>
      <c r="M10" s="54"/>
      <c r="N10" s="62"/>
      <c r="O10" s="43"/>
      <c r="P10" s="43"/>
    </row>
    <row r="11" spans="1:18" s="9" customFormat="1" ht="13.5" customHeight="1" x14ac:dyDescent="0.3">
      <c r="A11" s="73"/>
      <c r="B11" s="65"/>
      <c r="C11" s="49"/>
      <c r="D11" s="89"/>
      <c r="E11" s="47"/>
      <c r="F11" s="42"/>
      <c r="G11" s="46"/>
      <c r="H11" s="45"/>
      <c r="I11" s="56"/>
      <c r="J11" s="51"/>
      <c r="K11" s="59"/>
      <c r="L11" s="58"/>
      <c r="M11" s="50"/>
      <c r="N11" s="64"/>
      <c r="O11" s="64"/>
      <c r="P11" s="64"/>
      <c r="R11" s="11"/>
    </row>
    <row r="12" spans="1:18" s="9" customFormat="1" ht="13.5" customHeight="1" x14ac:dyDescent="0.3">
      <c r="A12" s="66" t="s">
        <v>27</v>
      </c>
      <c r="B12" s="131">
        <v>24266139</v>
      </c>
      <c r="C12" s="132" t="s">
        <v>81</v>
      </c>
      <c r="D12" s="41" t="s">
        <v>26</v>
      </c>
      <c r="E12" s="131">
        <v>13</v>
      </c>
      <c r="F12" s="86" t="s">
        <v>13</v>
      </c>
      <c r="G12" s="44" t="s">
        <v>24</v>
      </c>
      <c r="H12" s="48" t="s">
        <v>25</v>
      </c>
      <c r="I12" s="56" t="s">
        <v>28</v>
      </c>
      <c r="J12" s="55"/>
      <c r="K12" s="87"/>
      <c r="L12" s="69"/>
      <c r="M12" s="50"/>
      <c r="N12" s="64"/>
      <c r="O12" s="64"/>
      <c r="P12" s="68"/>
      <c r="Q12" s="11"/>
      <c r="R12" s="11"/>
    </row>
    <row r="13" spans="1:18" ht="12" customHeight="1" x14ac:dyDescent="0.3">
      <c r="A13" s="66" t="s">
        <v>27</v>
      </c>
      <c r="B13" s="133">
        <v>24048290</v>
      </c>
      <c r="C13" s="134" t="s">
        <v>82</v>
      </c>
      <c r="D13" s="41" t="s">
        <v>26</v>
      </c>
      <c r="E13" s="133">
        <v>13</v>
      </c>
      <c r="F13" s="47"/>
      <c r="G13" s="44" t="s">
        <v>24</v>
      </c>
      <c r="H13" s="48" t="s">
        <v>25</v>
      </c>
      <c r="I13" s="56" t="s">
        <v>68</v>
      </c>
      <c r="J13" s="56"/>
      <c r="K13" s="55"/>
      <c r="L13" s="57"/>
      <c r="M13" s="50"/>
      <c r="N13" s="61"/>
      <c r="O13" s="43"/>
      <c r="P13" s="43"/>
      <c r="Q13" s="10"/>
    </row>
    <row r="14" spans="1:18" ht="12" customHeight="1" x14ac:dyDescent="0.3">
      <c r="A14" s="66" t="s">
        <v>27</v>
      </c>
      <c r="B14" s="131">
        <v>23983789</v>
      </c>
      <c r="C14" s="135" t="s">
        <v>83</v>
      </c>
      <c r="D14" s="41" t="s">
        <v>26</v>
      </c>
      <c r="E14" s="131">
        <v>3</v>
      </c>
      <c r="F14" s="47"/>
      <c r="G14" s="44" t="s">
        <v>24</v>
      </c>
      <c r="H14" s="95" t="s">
        <v>73</v>
      </c>
      <c r="I14" s="56"/>
      <c r="J14" s="56" t="s">
        <v>74</v>
      </c>
      <c r="K14" s="87"/>
      <c r="L14"/>
      <c r="M14" s="50"/>
      <c r="N14" s="61"/>
      <c r="O14" s="43"/>
      <c r="P14" s="43"/>
      <c r="Q14" s="10"/>
    </row>
    <row r="15" spans="1:18" s="9" customFormat="1" ht="13.5" customHeight="1" x14ac:dyDescent="0.3">
      <c r="A15" s="66" t="s">
        <v>27</v>
      </c>
      <c r="B15" s="133">
        <v>24285087</v>
      </c>
      <c r="C15" s="134" t="s">
        <v>84</v>
      </c>
      <c r="D15" s="41" t="s">
        <v>26</v>
      </c>
      <c r="E15" s="133">
        <v>13</v>
      </c>
      <c r="F15" s="74"/>
      <c r="G15" s="44" t="s">
        <v>24</v>
      </c>
      <c r="H15" s="48" t="s">
        <v>25</v>
      </c>
      <c r="I15" s="56" t="s">
        <v>29</v>
      </c>
      <c r="J15" s="55"/>
      <c r="K15" s="69"/>
      <c r="L15" s="57"/>
      <c r="M15" s="53"/>
      <c r="N15" s="64"/>
      <c r="O15" s="64"/>
      <c r="P15" s="64"/>
      <c r="R15" s="11"/>
    </row>
    <row r="16" spans="1:18" s="9" customFormat="1" ht="13.5" customHeight="1" x14ac:dyDescent="0.3">
      <c r="A16" s="66" t="s">
        <v>27</v>
      </c>
      <c r="B16" s="131">
        <v>22833569</v>
      </c>
      <c r="C16" s="132" t="s">
        <v>69</v>
      </c>
      <c r="D16" s="41" t="s">
        <v>26</v>
      </c>
      <c r="E16" s="131">
        <v>8</v>
      </c>
      <c r="F16" s="47"/>
      <c r="G16" s="105" t="s">
        <v>72</v>
      </c>
      <c r="H16" s="48" t="s">
        <v>25</v>
      </c>
      <c r="I16" s="56" t="s">
        <v>29</v>
      </c>
      <c r="J16" s="56"/>
      <c r="K16" s="69" t="s">
        <v>79</v>
      </c>
      <c r="L16" s="104"/>
      <c r="M16" s="50"/>
      <c r="N16" s="64"/>
      <c r="O16" s="64"/>
      <c r="P16" s="68"/>
      <c r="Q16" s="11"/>
      <c r="R16" s="11"/>
    </row>
    <row r="17" spans="1:21" s="9" customFormat="1" ht="13.5" customHeight="1" x14ac:dyDescent="0.3">
      <c r="A17" s="66" t="s">
        <v>27</v>
      </c>
      <c r="B17" s="133">
        <v>22835137</v>
      </c>
      <c r="C17" s="136" t="s">
        <v>71</v>
      </c>
      <c r="D17" s="41" t="s">
        <v>26</v>
      </c>
      <c r="E17" s="133">
        <v>8</v>
      </c>
      <c r="F17" s="47"/>
      <c r="G17" s="92" t="s">
        <v>72</v>
      </c>
      <c r="H17" s="48" t="s">
        <v>25</v>
      </c>
      <c r="I17" s="56" t="s">
        <v>29</v>
      </c>
      <c r="J17" s="55"/>
      <c r="K17" s="69" t="s">
        <v>79</v>
      </c>
      <c r="L17" s="57"/>
      <c r="M17" s="50"/>
      <c r="N17" s="64"/>
      <c r="O17" s="64"/>
      <c r="P17" s="64"/>
      <c r="Q17" s="11"/>
      <c r="R17" s="11"/>
    </row>
    <row r="18" spans="1:21" s="9" customFormat="1" ht="13.5" customHeight="1" x14ac:dyDescent="0.3">
      <c r="A18" s="66" t="s">
        <v>27</v>
      </c>
      <c r="B18" s="131">
        <v>22074799</v>
      </c>
      <c r="C18" s="135" t="s">
        <v>70</v>
      </c>
      <c r="D18" s="41" t="s">
        <v>26</v>
      </c>
      <c r="E18" s="131">
        <v>5</v>
      </c>
      <c r="F18" s="47"/>
      <c r="G18" s="92" t="s">
        <v>72</v>
      </c>
      <c r="H18" s="95" t="s">
        <v>73</v>
      </c>
      <c r="I18" s="56"/>
      <c r="J18" s="56" t="s">
        <v>74</v>
      </c>
      <c r="K18" s="69" t="s">
        <v>79</v>
      </c>
      <c r="L18" s="21"/>
      <c r="M18" s="50"/>
      <c r="N18" s="64"/>
      <c r="O18" s="64"/>
      <c r="P18" s="68"/>
      <c r="Q18" s="11"/>
      <c r="R18" s="11"/>
    </row>
    <row r="19" spans="1:21" s="9" customFormat="1" ht="13.5" customHeight="1" x14ac:dyDescent="0.3">
      <c r="A19" s="66" t="s">
        <v>27</v>
      </c>
      <c r="B19" s="133">
        <v>22714379</v>
      </c>
      <c r="C19" s="136" t="s">
        <v>67</v>
      </c>
      <c r="D19" s="41" t="s">
        <v>26</v>
      </c>
      <c r="E19" s="133">
        <v>8</v>
      </c>
      <c r="F19" s="47"/>
      <c r="G19" s="92" t="s">
        <v>72</v>
      </c>
      <c r="H19" s="48" t="s">
        <v>25</v>
      </c>
      <c r="I19" s="56" t="s">
        <v>85</v>
      </c>
      <c r="K19" s="69" t="s">
        <v>79</v>
      </c>
      <c r="L19" s="57"/>
      <c r="M19" s="50"/>
      <c r="N19" s="64"/>
      <c r="O19" s="64"/>
      <c r="P19" s="64"/>
      <c r="R19" s="11"/>
    </row>
    <row r="20" spans="1:21" s="9" customFormat="1" ht="13.5" customHeight="1" x14ac:dyDescent="0.3">
      <c r="A20" s="66" t="s">
        <v>27</v>
      </c>
      <c r="B20" s="90"/>
      <c r="C20" s="91"/>
      <c r="D20" s="41"/>
      <c r="E20" s="40"/>
      <c r="F20" s="47"/>
      <c r="G20" s="44"/>
      <c r="H20" s="93"/>
      <c r="I20" s="56"/>
      <c r="J20" s="55"/>
      <c r="K20" s="59"/>
      <c r="L20" s="67"/>
      <c r="M20" s="50"/>
      <c r="N20" s="64"/>
      <c r="O20" s="64"/>
      <c r="P20" s="68"/>
      <c r="R20" s="11"/>
    </row>
    <row r="21" spans="1:21" ht="12" customHeight="1" x14ac:dyDescent="0.3">
      <c r="A21" s="66" t="s">
        <v>27</v>
      </c>
      <c r="B21" s="90"/>
      <c r="C21" s="91"/>
      <c r="D21" s="41"/>
      <c r="E21" s="40"/>
      <c r="F21" s="47"/>
      <c r="G21" s="44"/>
      <c r="H21" s="94"/>
      <c r="I21" s="56"/>
      <c r="J21" s="55"/>
      <c r="K21" s="55"/>
      <c r="L21" s="57"/>
      <c r="M21" s="88"/>
      <c r="N21" s="60"/>
      <c r="O21" s="43"/>
      <c r="P21" s="43"/>
      <c r="Q21" s="21"/>
    </row>
    <row r="22" spans="1:21" ht="12" customHeight="1" x14ac:dyDescent="0.3">
      <c r="A22" s="70"/>
      <c r="B22" s="72"/>
      <c r="C22" s="71"/>
      <c r="D22" s="41"/>
      <c r="E22" s="72"/>
      <c r="F22" s="47"/>
      <c r="G22" s="46"/>
      <c r="H22" s="75"/>
      <c r="I22" s="76"/>
      <c r="J22" s="54"/>
      <c r="K22" s="54"/>
      <c r="L22" s="55"/>
      <c r="M22" s="55"/>
      <c r="N22" s="60"/>
      <c r="O22" s="43"/>
      <c r="P22" s="43"/>
      <c r="Q22" s="21"/>
    </row>
    <row r="23" spans="1:21" s="9" customFormat="1" ht="15.75" customHeight="1" x14ac:dyDescent="0.3">
      <c r="A23" s="79"/>
      <c r="B23" s="79"/>
      <c r="C23" s="80"/>
      <c r="D23" s="77"/>
      <c r="E23" s="78"/>
      <c r="F23" s="81"/>
      <c r="G23" s="79"/>
      <c r="H23" s="82"/>
      <c r="I23" s="83"/>
      <c r="J23" s="84"/>
      <c r="K23" s="85"/>
      <c r="L23" s="15"/>
      <c r="M23" s="30"/>
      <c r="N23" s="23"/>
      <c r="O23" s="15"/>
      <c r="P23" s="15"/>
      <c r="Q23"/>
      <c r="R23"/>
      <c r="S23"/>
      <c r="T23"/>
      <c r="U23"/>
    </row>
    <row r="24" spans="1:21" ht="27" customHeight="1" x14ac:dyDescent="0.25">
      <c r="A24" s="110" t="s">
        <v>75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/>
      <c r="N24"/>
      <c r="O24"/>
      <c r="P24"/>
    </row>
    <row r="25" spans="1:21" ht="15.75" customHeight="1" x14ac:dyDescent="0.3">
      <c r="A25" s="109" t="s">
        <v>76</v>
      </c>
      <c r="B25" s="108"/>
      <c r="C25" s="108"/>
      <c r="D25" s="96"/>
      <c r="E25" s="96" t="s">
        <v>78</v>
      </c>
      <c r="F25" s="96"/>
      <c r="G25" s="96"/>
      <c r="H25" s="96"/>
      <c r="I25" s="107" t="s">
        <v>77</v>
      </c>
      <c r="J25" s="108"/>
      <c r="K25" s="108"/>
      <c r="L25" s="108"/>
    </row>
    <row r="26" spans="1:21" ht="15.75" customHeight="1" x14ac:dyDescent="0.3">
      <c r="A26" s="106"/>
      <c r="B26" s="106"/>
      <c r="C26" s="106"/>
      <c r="D26" s="106"/>
      <c r="E26" s="101"/>
      <c r="F26" s="98"/>
      <c r="G26" s="98"/>
      <c r="H26" s="102"/>
      <c r="I26" s="99"/>
      <c r="J26" s="99"/>
      <c r="K26" s="100"/>
      <c r="L26" s="100"/>
    </row>
    <row r="27" spans="1:21" ht="15.75" customHeight="1" x14ac:dyDescent="0.3">
      <c r="A27" s="106"/>
      <c r="B27" s="106"/>
      <c r="C27" s="106"/>
      <c r="D27" s="106"/>
      <c r="E27" s="101"/>
      <c r="F27" s="98"/>
      <c r="G27" s="98"/>
      <c r="H27" s="103"/>
      <c r="I27" s="99"/>
      <c r="J27" s="99"/>
      <c r="K27" s="100"/>
      <c r="L27" s="100"/>
    </row>
    <row r="28" spans="1:21" ht="15.75" customHeight="1" x14ac:dyDescent="0.3">
      <c r="A28" s="106"/>
      <c r="B28" s="106"/>
      <c r="C28" s="106"/>
      <c r="D28" s="106"/>
      <c r="E28" s="101"/>
      <c r="F28" s="98"/>
      <c r="G28" s="98"/>
      <c r="H28" s="103"/>
      <c r="I28" s="99"/>
      <c r="J28" s="99"/>
      <c r="K28" s="100"/>
      <c r="L28" s="100"/>
    </row>
    <row r="29" spans="1:21" ht="15.75" customHeight="1" x14ac:dyDescent="0.3">
      <c r="A29" s="106"/>
      <c r="B29" s="106"/>
      <c r="C29" s="106"/>
      <c r="D29" s="106"/>
      <c r="E29" s="97"/>
      <c r="F29" s="98"/>
      <c r="G29" s="98"/>
      <c r="H29" s="103"/>
      <c r="I29" s="99"/>
      <c r="J29" s="99"/>
      <c r="K29" s="100"/>
      <c r="L29" s="100"/>
    </row>
    <row r="30" spans="1:21" ht="15.75" customHeight="1" x14ac:dyDescent="0.3">
      <c r="A30" s="106"/>
      <c r="B30" s="106"/>
      <c r="C30" s="106"/>
      <c r="D30" s="106"/>
      <c r="E30" s="97"/>
      <c r="F30" s="98"/>
      <c r="G30" s="98"/>
      <c r="H30" s="103"/>
      <c r="I30" s="99"/>
      <c r="J30" s="99"/>
      <c r="K30" s="100"/>
      <c r="L30" s="100"/>
    </row>
    <row r="31" spans="1:21" ht="15.75" customHeight="1" x14ac:dyDescent="0.3">
      <c r="A31" s="106"/>
      <c r="B31" s="106"/>
      <c r="C31" s="106"/>
      <c r="D31" s="106"/>
      <c r="E31" s="97"/>
      <c r="F31" s="98"/>
      <c r="G31" s="98"/>
      <c r="H31" s="103"/>
      <c r="I31" s="99"/>
      <c r="J31" s="99"/>
      <c r="K31" s="100"/>
      <c r="L31" s="100"/>
    </row>
    <row r="32" spans="1:21" ht="15.75" customHeight="1" x14ac:dyDescent="0.3">
      <c r="A32" s="106"/>
      <c r="B32" s="106"/>
      <c r="C32" s="106"/>
      <c r="D32" s="106"/>
      <c r="E32" s="97"/>
      <c r="F32" s="98"/>
      <c r="G32" s="98"/>
      <c r="H32" s="102"/>
      <c r="I32" s="99"/>
      <c r="J32" s="99"/>
      <c r="K32" s="100"/>
      <c r="L32" s="100"/>
    </row>
    <row r="33" spans="1:12" ht="15.75" customHeight="1" x14ac:dyDescent="0.3">
      <c r="A33" s="106"/>
      <c r="B33" s="106"/>
      <c r="C33" s="106"/>
      <c r="D33" s="106"/>
      <c r="E33" s="97"/>
      <c r="F33" s="98"/>
      <c r="G33" s="98"/>
      <c r="H33" s="102"/>
      <c r="I33" s="99"/>
      <c r="J33" s="99"/>
      <c r="K33" s="100"/>
      <c r="L33" s="100"/>
    </row>
    <row r="34" spans="1:12" ht="15.75" customHeight="1" x14ac:dyDescent="0.3">
      <c r="A34" s="106"/>
      <c r="B34" s="106"/>
      <c r="C34" s="106"/>
      <c r="D34" s="106"/>
    </row>
    <row r="35" spans="1:12" ht="15.75" customHeight="1" x14ac:dyDescent="0.3">
      <c r="A35" s="106"/>
      <c r="B35" s="106"/>
      <c r="C35" s="106"/>
      <c r="D35" s="106"/>
    </row>
  </sheetData>
  <autoFilter ref="A9:H22" xr:uid="{00000000-0009-0000-0000-000000000000}">
    <sortState xmlns:xlrd2="http://schemas.microsoft.com/office/spreadsheetml/2017/richdata2" ref="A10:H22">
      <sortCondition ref="A9:A22"/>
      <sortCondition descending="1" ref="F9:F22"/>
      <sortCondition ref="G9:G22"/>
    </sortState>
  </autoFilter>
  <mergeCells count="27">
    <mergeCell ref="A1:H1"/>
    <mergeCell ref="A2:H2"/>
    <mergeCell ref="A3:B3"/>
    <mergeCell ref="C3:H3"/>
    <mergeCell ref="A4:B4"/>
    <mergeCell ref="C4:D4"/>
    <mergeCell ref="E4:E5"/>
    <mergeCell ref="F4:H5"/>
    <mergeCell ref="A5:B5"/>
    <mergeCell ref="C5:D5"/>
    <mergeCell ref="A24:L24"/>
    <mergeCell ref="A6:B6"/>
    <mergeCell ref="C6:H6"/>
    <mergeCell ref="A7:H7"/>
    <mergeCell ref="A8:H8"/>
    <mergeCell ref="A34:D34"/>
    <mergeCell ref="A35:D35"/>
    <mergeCell ref="I25:L25"/>
    <mergeCell ref="A26:D26"/>
    <mergeCell ref="A27:D27"/>
    <mergeCell ref="A28:D28"/>
    <mergeCell ref="A25:C25"/>
    <mergeCell ref="A29:D29"/>
    <mergeCell ref="A30:D30"/>
    <mergeCell ref="A31:D31"/>
    <mergeCell ref="A32:D32"/>
    <mergeCell ref="A33:D33"/>
  </mergeCells>
  <conditionalFormatting sqref="H6 H8:H9">
    <cfRule type="containsText" dxfId="29" priority="21" operator="containsText" text="Preparado">
      <formula>NOT(ISERROR(SEARCH(("Preparado"),(H6))))</formula>
    </cfRule>
    <cfRule type="containsText" dxfId="28" priority="22" operator="containsText" text="Pronto">
      <formula>NOT(ISERROR(SEARCH(("Pronto"),(H6))))</formula>
    </cfRule>
    <cfRule type="containsText" dxfId="27" priority="23" operator="containsText" text="Aceito">
      <formula>NOT(ISERROR(SEARCH(("Aceito"),(H6))))</formula>
    </cfRule>
    <cfRule type="containsText" dxfId="26" priority="24" operator="containsText" text="Implantado">
      <formula>NOT(ISERROR(SEARCH(("Implantado"),(H6))))</formula>
    </cfRule>
    <cfRule type="containsText" dxfId="25" priority="25" operator="containsText" text="Novo">
      <formula>NOT(ISERROR(SEARCH(("Novo"),(H6))))</formula>
    </cfRule>
    <cfRule type="containsText" dxfId="24" priority="26" operator="containsText" text="Em refinamento">
      <formula>NOT(ISERROR(SEARCH(("Em refinamento"),(H6))))</formula>
    </cfRule>
    <cfRule type="containsText" dxfId="23" priority="27" operator="containsText" text="Em testes">
      <formula>NOT(ISERROR(SEARCH(("Em testes"),(H6))))</formula>
    </cfRule>
    <cfRule type="containsText" dxfId="22" priority="28" operator="containsText" text="Implementado">
      <formula>NOT(ISERROR(SEARCH(("Implementado"),(H6))))</formula>
    </cfRule>
    <cfRule type="containsText" dxfId="21" priority="29" operator="containsText" text="Entregue">
      <formula>NOT(ISERROR(SEARCH(("Entregue"),(H6))))</formula>
    </cfRule>
    <cfRule type="containsText" dxfId="20" priority="30" operator="containsText" text="Em Desenvolvimento">
      <formula>NOT(ISERROR(SEARCH(("Em Desenvolvimento"),(H6))))</formula>
    </cfRule>
  </conditionalFormatting>
  <conditionalFormatting sqref="I9:J9">
    <cfRule type="containsText" dxfId="19" priority="11" operator="containsText" text="Preparado">
      <formula>NOT(ISERROR(SEARCH(("Preparado"),(I9))))</formula>
    </cfRule>
    <cfRule type="containsText" dxfId="18" priority="12" operator="containsText" text="Pronto">
      <formula>NOT(ISERROR(SEARCH(("Pronto"),(I9))))</formula>
    </cfRule>
    <cfRule type="containsText" dxfId="17" priority="13" operator="containsText" text="Aceito">
      <formula>NOT(ISERROR(SEARCH(("Aceito"),(I9))))</formula>
    </cfRule>
    <cfRule type="containsText" dxfId="16" priority="14" operator="containsText" text="Implantado">
      <formula>NOT(ISERROR(SEARCH(("Implantado"),(I9))))</formula>
    </cfRule>
    <cfRule type="containsText" dxfId="15" priority="15" operator="containsText" text="Novo">
      <formula>NOT(ISERROR(SEARCH(("Novo"),(I9))))</formula>
    </cfRule>
    <cfRule type="containsText" dxfId="14" priority="16" operator="containsText" text="Em refinamento">
      <formula>NOT(ISERROR(SEARCH(("Em refinamento"),(I9))))</formula>
    </cfRule>
    <cfRule type="containsText" dxfId="13" priority="17" operator="containsText" text="Em testes">
      <formula>NOT(ISERROR(SEARCH(("Em testes"),(I9))))</formula>
    </cfRule>
    <cfRule type="containsText" dxfId="12" priority="18" operator="containsText" text="Implementado">
      <formula>NOT(ISERROR(SEARCH(("Implementado"),(I9))))</formula>
    </cfRule>
    <cfRule type="containsText" dxfId="11" priority="19" operator="containsText" text="Entregue">
      <formula>NOT(ISERROR(SEARCH(("Entregue"),(I9))))</formula>
    </cfRule>
    <cfRule type="containsText" dxfId="10" priority="20" operator="containsText" text="Em Desenvolvimento">
      <formula>NOT(ISERROR(SEARCH(("Em Desenvolvimento"),(I9))))</formula>
    </cfRule>
  </conditionalFormatting>
  <conditionalFormatting sqref="L9">
    <cfRule type="containsText" dxfId="9" priority="1" operator="containsText" text="Preparado">
      <formula>NOT(ISERROR(SEARCH(("Preparado"),(L9))))</formula>
    </cfRule>
    <cfRule type="containsText" dxfId="8" priority="2" operator="containsText" text="Pronto">
      <formula>NOT(ISERROR(SEARCH(("Pronto"),(L9))))</formula>
    </cfRule>
    <cfRule type="containsText" dxfId="7" priority="3" operator="containsText" text="Aceito">
      <formula>NOT(ISERROR(SEARCH(("Aceito"),(L9))))</formula>
    </cfRule>
    <cfRule type="containsText" dxfId="6" priority="4" operator="containsText" text="Implantado">
      <formula>NOT(ISERROR(SEARCH(("Implantado"),(L9))))</formula>
    </cfRule>
    <cfRule type="containsText" dxfId="5" priority="5" operator="containsText" text="Novo">
      <formula>NOT(ISERROR(SEARCH(("Novo"),(L9))))</formula>
    </cfRule>
    <cfRule type="containsText" dxfId="4" priority="6" operator="containsText" text="Em refinamento">
      <formula>NOT(ISERROR(SEARCH(("Em refinamento"),(L9))))</formula>
    </cfRule>
    <cfRule type="containsText" dxfId="3" priority="7" operator="containsText" text="Em testes">
      <formula>NOT(ISERROR(SEARCH(("Em testes"),(L9))))</formula>
    </cfRule>
    <cfRule type="containsText" dxfId="2" priority="8" operator="containsText" text="Implementado">
      <formula>NOT(ISERROR(SEARCH(("Implementado"),(L9))))</formula>
    </cfRule>
    <cfRule type="containsText" dxfId="1" priority="9" operator="containsText" text="Entregue">
      <formula>NOT(ISERROR(SEARCH(("Entregue"),(L9))))</formula>
    </cfRule>
    <cfRule type="containsText" dxfId="0" priority="10" operator="containsText" text="Em Desenvolvimento">
      <formula>NOT(ISERROR(SEARCH(("Em Desenvolvimento"),(L9))))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workbookViewId="0"/>
  </sheetViews>
  <sheetFormatPr defaultColWidth="12.5546875" defaultRowHeight="15.75" customHeight="1" x14ac:dyDescent="0.25"/>
  <cols>
    <col min="1" max="1" width="14.44140625" customWidth="1"/>
    <col min="2" max="2" width="27.33203125" customWidth="1"/>
    <col min="3" max="3" width="24.5546875" customWidth="1"/>
    <col min="4" max="4" width="25.6640625" customWidth="1"/>
    <col min="5" max="5" width="23.44140625" customWidth="1"/>
    <col min="6" max="6" width="19.5546875" customWidth="1"/>
  </cols>
  <sheetData>
    <row r="1" spans="1:6" ht="13.2" x14ac:dyDescent="0.25">
      <c r="A1" s="127" t="s">
        <v>47</v>
      </c>
      <c r="B1" s="112"/>
      <c r="C1" s="112"/>
      <c r="D1" s="112"/>
      <c r="E1" s="112"/>
      <c r="F1" s="112"/>
    </row>
    <row r="2" spans="1:6" ht="13.2" x14ac:dyDescent="0.25">
      <c r="A2" s="3"/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</row>
    <row r="3" spans="1:6" ht="13.8" x14ac:dyDescent="0.3">
      <c r="A3" s="128" t="s">
        <v>53</v>
      </c>
      <c r="B3" s="2"/>
      <c r="C3" s="2"/>
      <c r="D3" s="2"/>
      <c r="E3" s="2"/>
      <c r="F3" s="5"/>
    </row>
    <row r="4" spans="1:6" ht="13.8" x14ac:dyDescent="0.3">
      <c r="A4" s="112"/>
      <c r="B4" s="5"/>
      <c r="C4" s="5"/>
      <c r="D4" s="5"/>
      <c r="E4" s="5"/>
      <c r="F4" s="2"/>
    </row>
    <row r="5" spans="1:6" ht="13.8" x14ac:dyDescent="0.3">
      <c r="A5" s="112"/>
      <c r="B5" s="2"/>
      <c r="C5" s="2"/>
      <c r="D5" s="2"/>
      <c r="E5" s="2"/>
    </row>
    <row r="6" spans="1:6" ht="13.8" x14ac:dyDescent="0.3">
      <c r="A6" s="6" t="s">
        <v>54</v>
      </c>
      <c r="B6" s="5"/>
      <c r="C6" s="5"/>
      <c r="D6" s="5"/>
      <c r="E6" s="5"/>
      <c r="F6" s="7"/>
    </row>
    <row r="7" spans="1:6" ht="24.6" x14ac:dyDescent="0.3">
      <c r="A7" s="6" t="s">
        <v>55</v>
      </c>
      <c r="B7" s="125"/>
      <c r="C7" s="112"/>
      <c r="D7" s="125"/>
      <c r="E7" s="112"/>
      <c r="F7" s="8"/>
    </row>
    <row r="8" spans="1:6" ht="13.8" x14ac:dyDescent="0.3">
      <c r="A8" s="6" t="s">
        <v>56</v>
      </c>
      <c r="B8" s="129"/>
      <c r="C8" s="112"/>
      <c r="D8" s="112"/>
      <c r="E8" s="112"/>
      <c r="F8" s="7"/>
    </row>
    <row r="9" spans="1:6" ht="13.8" x14ac:dyDescent="0.3">
      <c r="A9" s="6" t="s">
        <v>43</v>
      </c>
      <c r="B9" s="125"/>
      <c r="C9" s="112"/>
      <c r="D9" s="112"/>
      <c r="E9" s="112"/>
      <c r="F9" s="112"/>
    </row>
    <row r="10" spans="1:6" ht="24.6" x14ac:dyDescent="0.3">
      <c r="A10" s="6" t="s">
        <v>57</v>
      </c>
      <c r="B10" s="125"/>
      <c r="C10" s="112"/>
      <c r="D10" s="112"/>
      <c r="E10" s="112"/>
      <c r="F10" s="112"/>
    </row>
    <row r="11" spans="1:6" ht="7.5" customHeight="1" x14ac:dyDescent="0.3">
      <c r="A11" s="126"/>
      <c r="B11" s="112"/>
      <c r="C11" s="112"/>
      <c r="D11" s="112"/>
      <c r="E11" s="112"/>
      <c r="F11" s="112"/>
    </row>
    <row r="12" spans="1:6" ht="13.8" x14ac:dyDescent="0.3">
      <c r="A12" s="1"/>
      <c r="B12" s="1"/>
      <c r="C12" s="1"/>
      <c r="D12" s="1"/>
      <c r="E12" s="1"/>
      <c r="F12" s="1"/>
    </row>
  </sheetData>
  <mergeCells count="8">
    <mergeCell ref="B9:F9"/>
    <mergeCell ref="B10:F10"/>
    <mergeCell ref="A11:F11"/>
    <mergeCell ref="A1:F1"/>
    <mergeCell ref="A3:A5"/>
    <mergeCell ref="B7:C7"/>
    <mergeCell ref="D7:E7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2"/>
  <sheetViews>
    <sheetView workbookViewId="0"/>
  </sheetViews>
  <sheetFormatPr defaultColWidth="12.5546875" defaultRowHeight="15.75" customHeight="1" x14ac:dyDescent="0.25"/>
  <cols>
    <col min="1" max="1" width="14.44140625" customWidth="1"/>
    <col min="2" max="2" width="27.33203125" customWidth="1"/>
    <col min="3" max="3" width="5.109375" customWidth="1"/>
    <col min="4" max="5" width="24.5546875" customWidth="1"/>
    <col min="6" max="6" width="5.109375" customWidth="1"/>
    <col min="7" max="7" width="25.6640625" customWidth="1"/>
    <col min="8" max="8" width="23.44140625" customWidth="1"/>
    <col min="9" max="9" width="19.5546875" customWidth="1"/>
  </cols>
  <sheetData>
    <row r="1" spans="1:9" ht="13.2" x14ac:dyDescent="0.25">
      <c r="A1" s="127" t="s">
        <v>47</v>
      </c>
      <c r="B1" s="112"/>
      <c r="C1" s="112"/>
      <c r="D1" s="112"/>
      <c r="E1" s="112"/>
      <c r="F1" s="112"/>
      <c r="G1" s="112"/>
      <c r="H1" s="112"/>
      <c r="I1" s="112"/>
    </row>
    <row r="2" spans="1:9" ht="13.2" x14ac:dyDescent="0.25">
      <c r="A2" s="3"/>
      <c r="B2" s="130" t="s">
        <v>48</v>
      </c>
      <c r="C2" s="112"/>
      <c r="D2" s="3"/>
      <c r="E2" s="3" t="s">
        <v>49</v>
      </c>
      <c r="F2" s="3"/>
      <c r="G2" s="3" t="s">
        <v>50</v>
      </c>
      <c r="H2" s="3" t="s">
        <v>51</v>
      </c>
      <c r="I2" s="3" t="s">
        <v>52</v>
      </c>
    </row>
    <row r="3" spans="1:9" ht="13.8" x14ac:dyDescent="0.3">
      <c r="A3" s="4"/>
      <c r="B3" s="2" t="s">
        <v>58</v>
      </c>
      <c r="C3" s="2" t="s">
        <v>59</v>
      </c>
      <c r="D3" s="2" t="s">
        <v>60</v>
      </c>
      <c r="E3" s="2" t="s">
        <v>58</v>
      </c>
      <c r="F3" s="2" t="s">
        <v>59</v>
      </c>
      <c r="G3" s="2"/>
      <c r="H3" s="2"/>
      <c r="I3" s="5"/>
    </row>
    <row r="4" spans="1:9" ht="13.8" x14ac:dyDescent="0.3">
      <c r="A4" s="128" t="s">
        <v>53</v>
      </c>
      <c r="B4" s="2" t="s">
        <v>61</v>
      </c>
      <c r="C4" s="2"/>
      <c r="D4" s="2"/>
      <c r="E4" s="2" t="s">
        <v>46</v>
      </c>
      <c r="F4" s="2"/>
      <c r="G4" s="2" t="s">
        <v>33</v>
      </c>
      <c r="H4" s="2" t="s">
        <v>30</v>
      </c>
      <c r="I4" s="5" t="s">
        <v>34</v>
      </c>
    </row>
    <row r="5" spans="1:9" ht="13.8" x14ac:dyDescent="0.3">
      <c r="A5" s="112"/>
      <c r="B5" s="5" t="s">
        <v>35</v>
      </c>
      <c r="C5" s="5"/>
      <c r="D5" s="5"/>
      <c r="E5" s="5" t="s">
        <v>37</v>
      </c>
      <c r="F5" s="5"/>
      <c r="G5" s="5" t="s">
        <v>62</v>
      </c>
      <c r="H5" s="5" t="s">
        <v>36</v>
      </c>
      <c r="I5" s="2" t="s">
        <v>39</v>
      </c>
    </row>
    <row r="6" spans="1:9" ht="13.8" x14ac:dyDescent="0.3">
      <c r="A6" s="112"/>
      <c r="B6" s="2" t="s">
        <v>63</v>
      </c>
      <c r="C6" s="2"/>
      <c r="D6" s="2"/>
      <c r="E6" s="2" t="s">
        <v>32</v>
      </c>
      <c r="F6" s="2"/>
      <c r="G6" s="2" t="s">
        <v>64</v>
      </c>
      <c r="H6" s="2" t="s">
        <v>65</v>
      </c>
    </row>
    <row r="7" spans="1:9" ht="13.8" x14ac:dyDescent="0.3">
      <c r="A7" s="6" t="s">
        <v>54</v>
      </c>
      <c r="B7" s="5" t="s">
        <v>31</v>
      </c>
      <c r="C7" s="5"/>
      <c r="D7" s="5"/>
      <c r="E7" s="5" t="s">
        <v>40</v>
      </c>
      <c r="F7" s="5"/>
      <c r="G7" s="5" t="s">
        <v>66</v>
      </c>
      <c r="H7" s="5" t="s">
        <v>38</v>
      </c>
      <c r="I7" s="7"/>
    </row>
    <row r="8" spans="1:9" ht="24.6" x14ac:dyDescent="0.3">
      <c r="A8" s="6" t="s">
        <v>55</v>
      </c>
      <c r="B8" s="125" t="s">
        <v>42</v>
      </c>
      <c r="C8" s="112"/>
      <c r="D8" s="112"/>
      <c r="E8" s="112"/>
      <c r="F8" s="2"/>
      <c r="G8" s="125" t="s">
        <v>41</v>
      </c>
      <c r="H8" s="112"/>
      <c r="I8" s="8"/>
    </row>
    <row r="9" spans="1:9" ht="13.8" x14ac:dyDescent="0.3">
      <c r="A9" s="6" t="s">
        <v>56</v>
      </c>
      <c r="B9" s="129" t="s">
        <v>44</v>
      </c>
      <c r="C9" s="112"/>
      <c r="D9" s="112"/>
      <c r="E9" s="112"/>
      <c r="F9" s="112"/>
      <c r="G9" s="112"/>
      <c r="H9" s="112"/>
      <c r="I9" s="7"/>
    </row>
    <row r="10" spans="1:9" ht="13.8" x14ac:dyDescent="0.3">
      <c r="A10" s="6" t="s">
        <v>43</v>
      </c>
      <c r="B10" s="125" t="s">
        <v>42</v>
      </c>
      <c r="C10" s="112"/>
      <c r="D10" s="112"/>
      <c r="E10" s="112"/>
      <c r="F10" s="112"/>
      <c r="G10" s="112"/>
      <c r="H10" s="112"/>
      <c r="I10" s="112"/>
    </row>
    <row r="11" spans="1:9" ht="24.6" x14ac:dyDescent="0.3">
      <c r="A11" s="6" t="s">
        <v>57</v>
      </c>
      <c r="B11" s="125" t="s">
        <v>45</v>
      </c>
      <c r="C11" s="112"/>
      <c r="D11" s="112"/>
      <c r="E11" s="112"/>
      <c r="F11" s="112"/>
      <c r="G11" s="112"/>
      <c r="H11" s="112"/>
      <c r="I11" s="112"/>
    </row>
    <row r="12" spans="1:9" ht="7.5" customHeight="1" x14ac:dyDescent="0.3">
      <c r="A12" s="126"/>
      <c r="B12" s="112"/>
      <c r="C12" s="112"/>
      <c r="D12" s="112"/>
      <c r="E12" s="112"/>
      <c r="F12" s="112"/>
      <c r="G12" s="112"/>
      <c r="H12" s="112"/>
      <c r="I12" s="112"/>
    </row>
  </sheetData>
  <mergeCells count="9">
    <mergeCell ref="B11:I11"/>
    <mergeCell ref="A12:I12"/>
    <mergeCell ref="A1:I1"/>
    <mergeCell ref="B2:C2"/>
    <mergeCell ref="A4:A6"/>
    <mergeCell ref="B8:E8"/>
    <mergeCell ref="G8:H8"/>
    <mergeCell ref="B9:H9"/>
    <mergeCell ref="B10:I1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AD14062CC63A4CAF24A1AB27BAC5BF" ma:contentTypeVersion="6" ma:contentTypeDescription="Crie um novo documento." ma:contentTypeScope="" ma:versionID="579661b0687bdda7f7a7e3865c870508">
  <xsd:schema xmlns:xsd="http://www.w3.org/2001/XMLSchema" xmlns:xs="http://www.w3.org/2001/XMLSchema" xmlns:p="http://schemas.microsoft.com/office/2006/metadata/properties" xmlns:ns2="d02fb2fb-8e1a-40aa-a90e-8e71295865d0" xmlns:ns3="f95040bb-1e3f-42be-9b55-ed8180fb9c96" targetNamespace="http://schemas.microsoft.com/office/2006/metadata/properties" ma:root="true" ma:fieldsID="f705e484cf1066dd0426d0c49d983d62" ns2:_="" ns3:_="">
    <xsd:import namespace="d02fb2fb-8e1a-40aa-a90e-8e71295865d0"/>
    <xsd:import namespace="f95040bb-1e3f-42be-9b55-ed8180fb9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fb2fb-8e1a-40aa-a90e-8e7129586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040bb-1e3f-42be-9b55-ed8180fb9c9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BE1E16-5699-4EFA-B461-3EC9DA414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2fb2fb-8e1a-40aa-a90e-8e71295865d0"/>
    <ds:schemaRef ds:uri="f95040bb-1e3f-42be-9b55-ed8180fb9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C3686F-18DC-4864-906D-0416B4F36C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DC50B7-E483-4A74-933C-FEE0D634C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Sprint85</vt:lpstr>
      <vt:lpstr>2 - Modelo Capacidade do Time</vt:lpstr>
      <vt:lpstr>2 - Exemplo de 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Forti Aleixo Amantea</dc:creator>
  <cp:keywords/>
  <dc:description/>
  <cp:lastModifiedBy>Vinicius Martins de Mello</cp:lastModifiedBy>
  <cp:revision/>
  <dcterms:created xsi:type="dcterms:W3CDTF">2024-05-31T12:56:05Z</dcterms:created>
  <dcterms:modified xsi:type="dcterms:W3CDTF">2025-10-21T02:30:10Z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0x0101005FAD14062CC63A4CAF24A1AB27BAC5BF</vt:lpwstr>
  </property>
  <property fmtid="{D5CDD505-2E9C-101B-9397-08002B2CF9AE}" pid="3" name="MSIP_Label_fde7aacd-7cc4-4c31-9e6f-7ef306428f09_Enabled">
    <vt:lpwstr>true</vt:lpwstr>
  </property>
  <property fmtid="{D5CDD505-2E9C-101B-9397-08002B2CF9AE}" pid="4" name="MSIP_Label_fde7aacd-7cc4-4c31-9e6f-7ef306428f09_SetDate">
    <vt:lpwstr>2025-01-31T21:38:16Z</vt:lpwstr>
  </property>
  <property fmtid="{D5CDD505-2E9C-101B-9397-08002B2CF9AE}" pid="5" name="MSIP_Label_fde7aacd-7cc4-4c31-9e6f-7ef306428f09_Method">
    <vt:lpwstr>Privileged</vt:lpwstr>
  </property>
  <property fmtid="{D5CDD505-2E9C-101B-9397-08002B2CF9AE}" pid="6" name="MSIP_Label_fde7aacd-7cc4-4c31-9e6f-7ef306428f09_Name">
    <vt:lpwstr>_PUBLICO</vt:lpwstr>
  </property>
  <property fmtid="{D5CDD505-2E9C-101B-9397-08002B2CF9AE}" pid="7" name="MSIP_Label_fde7aacd-7cc4-4c31-9e6f-7ef306428f09_SiteId">
    <vt:lpwstr>ab9bba98-684a-43fb-add8-9c2bebede229</vt:lpwstr>
  </property>
  <property fmtid="{D5CDD505-2E9C-101B-9397-08002B2CF9AE}" pid="8" name="MSIP_Label_fde7aacd-7cc4-4c31-9e6f-7ef306428f09_ActionId">
    <vt:lpwstr>0375bbfc-8f61-4de6-8c6a-a4557f65ce08</vt:lpwstr>
  </property>
  <property fmtid="{D5CDD505-2E9C-101B-9397-08002B2CF9AE}" pid="9" name="MSIP_Label_fde7aacd-7cc4-4c31-9e6f-7ef306428f09_ContentBits">
    <vt:lpwstr>1</vt:lpwstr>
  </property>
</Properties>
</file>