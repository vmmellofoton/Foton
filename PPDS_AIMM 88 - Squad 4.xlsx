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C:\Users\F921125\Desktop\AIMM\Sprint 88 - Enviar\"/>
    </mc:Choice>
  </mc:AlternateContent>
  <xr:revisionPtr revIDLastSave="0" documentId="13_ncr:1_{9151D518-D39C-40C5-8CD6-58B886F258A7}" xr6:coauthVersionLast="47" xr6:coauthVersionMax="47" xr10:uidLastSave="{00000000-0000-0000-0000-000000000000}"/>
  <bookViews>
    <workbookView xWindow="-108" yWindow="-108" windowWidth="23256" windowHeight="12456"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3" i="9" l="1"/>
  <c r="F3" i="10"/>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<sst xmlns="http://schemas.openxmlformats.org/spreadsheetml/2006/main" count="282" uniqueCount="130">
  <si>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</si>
  <si>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</si>
  <si>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</si>
  <si>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</si>
  <si>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</si>
  <si>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</si>
  <si>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</si>
  <si>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</si>
  <si>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</si>
  <si>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</si>
  <si>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</si>
  <si>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</si>
  <si>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</si>
  <si>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</si>
  <si>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</si>
  <si>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</si>
  <si>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</si>
  <si>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</si>
  <si>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</si>
  <si>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</si>
  <si>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</si>
  <si>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</si>
  <si>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</si>
  <si>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</si>
  <si>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</si>
  <si>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</si>
  <si>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</si>
  <si>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</si>
  <si>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</si>
  <si>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</si>
  <si>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</si>
  <si>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</si>
  <si>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</si>
  <si>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</si>
  <si>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</si>
  <si>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</si>
  <si>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</si>
  <si>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</si>
  <si>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</si>
  <si>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</si>
  <si>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</si>
  <si>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</si>
  <si>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</si>
  <si>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</si>
  <si>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</si>
  <si>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</si>
  <si>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</si>
  <si>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</si>
  <si>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</si>
  <si>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</si>
  <si>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</si>
  <si>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</si>
  <si>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</si>
  <si>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</si>
  <si>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</si>
  <si>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</si>
  <si>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</si>
  <si>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</si>
  <si>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</si>
  <si>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</si>
  <si>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</si>
  <si>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</si>
  <si>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I</t>
  </si>
  <si>
    <t>A</t>
  </si>
  <si>
    <t xml:space="preserve">E/S
RN/LP
EAD
</t>
  </si>
  <si>
    <t>Sistema Externo (SIMTX)</t>
  </si>
  <si>
    <t>Recupera os Campos:
- Informações do recebedor
- Informações do cliente
- Informações do pagador
- Informações adicionais</t>
  </si>
  <si>
    <t>Total</t>
  </si>
  <si>
    <t xml:space="preserve">Autorização de Pix Automático
</t>
  </si>
  <si>
    <t>Incluir funcionalidade para:
Desenvolvimento da funcionalidade de impressão do comprovante de Cancelamento de Agendamento de pix automático,</t>
  </si>
  <si>
    <t xml:space="preserve">RNF
</t>
  </si>
  <si>
    <t xml:space="preserve">Atualizar Pop-Up exibido na jornada do pagador (Jornada 4), que aparece após o pagamento com QR Code, adicionando ícone de “fechar” no canto superior direito.
</t>
  </si>
  <si>
    <t xml:space="preserve">E/S
RN/LP
</t>
  </si>
  <si>
    <t>Incluir funcionalidade para:
Permitir inclusão da Pendência da Autorização do Pix Automático via leitura de QR Code com conta que exija Senha de Transação Múltipla (STM).
Efetivação da transação através do Sistema Externo SIMTX (Endpoint /pix/automatico-autorizacoes/v1/autorizacoes)
Alteração da integração com o SIMCV para começar a gravar os dados específicos dessa transação: 
28153 - Incluir Pendência Pix (Operação realizada com sucesso ou mensagem de erro da API)</t>
  </si>
  <si>
    <t xml:space="preserve">SIGCX / Coleções / Coleções de Sprints / SIGCX - Squad 4 / Sprint 88 
</t>
  </si>
  <si>
    <t>SPRINT 88_LB04</t>
  </si>
  <si>
    <t xml:space="preserve">Incluir funcionalidade para:
Permitir autorização da Pendência do Pix Automático via leitura de QR Code com conta que exija Senha de Transação Múltipla (STM).
Efetivação da transação através do Sistema Externo SIMTX (Endpoint /assinatura-multipla/v2/contas/{id_conta}/transacoes/{nsuTransacao}/assinaturas)
Alteração da integração com o SIMCV para começar a gravar os dados específicos dessa transação: 
28154 - Autorizar Pendência Pix (Operação realizada com sucesso ou mensagem de erro da API)
</t>
  </si>
  <si>
    <t>Incluir funcionalidade para:
Desenvolvimento da funcionalidade de impressão do comprovante de Autorização de Pix Automático com Leitura de QR Code.</t>
  </si>
  <si>
    <t xml:space="preserve">Incluir funcionalidade para:
Permitir detalhamento da Pendência do Pix Automático via leitura de QR Code com conta que exija Senha de Transação Múltipla (STM).
Recuperar os campos abaixo do Sistema Externo SIMTX (Endpoint /assinatura-multipla/v2/contas/{id_conta}/transacoes/{nsuTransacao})
- Informações do recebedor 
- Informações do cliente
- Informações do pagador
- Informações Adicionais
Alteração da integração com o SIMCV para começar a gravar os dados específicos dessa transação: 
28153 - Incluir Pendência Pix (Operação realizada com sucesso ou mensagem de erro da API)
</t>
  </si>
  <si>
    <t>E/S
RN/LP</t>
  </si>
  <si>
    <t>Incluir funcionalidade para:
Desenvolvimento da funcionalidade de impressão do comprovante de Cancelamento de Pendência de Pix Automático com Leitura de QR Code.</t>
  </si>
  <si>
    <t xml:space="preserve">Incluir funcionalidade para:
Permitir edição da Autorização Ativa do Pix Automático, com criação de pendências para demais representantes com conta que exija Senha de Transação Múltipla (STM).
Efetivação da transação através do Sistema Externo SIMTX (Endpoint /pix/automatico-autorizacoes/v1/autorizacoes/{idAutorizacao})
</t>
  </si>
  <si>
    <t>Incluir funcionalidade para:
Desenvolvimento da funcionalidade de impressão do comprovante de edição da Autorização Ativa do Pix Automático, com criação de pendência.</t>
  </si>
  <si>
    <t>Incluir funcionalidade para:
Permitir cancelamento da Autorização Ativa do Pix Automático, com criação de pendências para demais representantes com conta que exija Senha de Transação Múltipla (STM).
Efetivação da transação através do Sistema Externo SIMTX (Endpoint /pix/automatico-autorizacoes/v1/autorizacoes/{idAutorizacao}/cancelar)</t>
  </si>
  <si>
    <t>Incluir funcionalidade para:
Desenvolvimento da funcionalidade de impressão do comprovante de Cancelamento da Autorização Ativa do Pix Automático, com criação de pendência.</t>
  </si>
  <si>
    <t xml:space="preserve">Incluir funcionalidade para:
Permitir autorização da Pendência da Edição da Autorização Ativa do Pix Automático com conta que exija Senha de Transação Múltipla (STM).
Efetivação da transação através do Sistema Externo SIMTX (Endpoint /assinatura-multipla/v2/contas/{id_conta}/transacoes/{nsuTransacao}/assinaturas)
</t>
  </si>
  <si>
    <t>Incluir funcionalidade para:
Desenvolvimento da funcionalidade de impressão do comprovante de Autorização da Edição da Autorização Ativa do Pix Automático.</t>
  </si>
  <si>
    <t xml:space="preserve">Incluir funcionalidade para:
Permitir autorização da pendência do cancelamento da Autorização Ativa do Pix Automático com conta que exija Senha de Transação Múltipla (STM).
Efetivação da transação através do Sistema Externo SIMTX (Endpoint /assinatura-multipla/v2/contas/{id_conta}/transacoes/{nsuTransacao}/assinaturas)
</t>
  </si>
  <si>
    <t>Incluir funcionalidade para:
Desenvolvimento da funcionalidade de impressão do comprovante de Autorização da Pendência de Cancelamento da Autorização Ativa do Pix Automático.</t>
  </si>
  <si>
    <t xml:space="preserve">Incluir funcionalidade para:
Permitir detalhamento da pendência do cancelamento da Autorização Ativa do Pix Automático com conta que exija Senha de Transação Múltipla (STM).
Recuperar os campos abaixo do Sistema Externo SIMTX (Endpoint /assinatura-multipla/v2/contas/{id_conta}/transacoes/{nsuTransacao})
- Informações do recebedor 
- Informações do cliente
- Informações do pagador
- Informações Adicionais
Alteração da integração com o SIMCV para começar a gravar os dados específicos dessa transação: 
28153 - Incluir Pendência Pix (Operação realizada com sucesso ou mensagem de erro da API)
</t>
  </si>
  <si>
    <t>Incluir funcionalidade para:
Permitir detalhamento da pendência da edição da Autorização Ativa do Pix Automático com conta que exija Senha de Transação Múltipla (STM).
Recuperar os campos abaixo do Sistema Externo SIMTX (Endpoint /assinatura-multipla/v2/contas/{id_conta}/transacoes/{nsuTransacao})
- Informações do recebedor 
- Informações do cliente
- Informações do pagador
- Informações Adicionais
Alteração da integração com o SIMCV para começar a gravar os dados específicos dessa transação: 
28153 - Incluir Pendência Pix (Operação realizada com sucesso ou mensagem de erro da API)</t>
  </si>
  <si>
    <t>Alterar funcionalidade para:
Atualizar o fluxo de rejeição de Autorizações Pendentes do Pix Automático para permitir que o cliente selecione o motivo da rejeição e que esse motivo seja exibido em todas as telas do processo e também no comprovante.
Inclusão de opções de motivo de rejeição no pop-up (“Não tenho interesse no Pix Automático para este pagamento” e “Não reconheço o relacionamento com este recebedor”); exibição do motivo nas telas de confirmação e comprovante; b</t>
  </si>
  <si>
    <t xml:space="preserve">Incluir funcionalidade para:
Permitir cancelamento da Pendência do Pix Automático via leitura de QR Code com conta que exija Senha de Transação Múltipla (STM).
Efetivação da transação (Cancelamento) através do Sistema Externo SIMTX (Endpoint /assinatura-multipla/v2/contas/{id_conta}/transacoes/{nsuTransacao})
Alteração da integração com o SIMCV para começar a gravar os dados específicos dessa transação: 
28198 - Pix - Cancelar Transação Pendente (AEM) (Operação realizada com sucesso ou mensagem de erro da API)
</t>
  </si>
  <si>
    <t>HU 22712226   
SIGCX_22712226_Criar_Pendência_Pix_Automático_com_Leitura_QR_Code_STM</t>
  </si>
  <si>
    <t>HU 22712226   
SIGCX_22712226_Criar_Pendência_Pix_Automático_com_Leitura_QR_Code_STM_Imprimir_Comprovante</t>
  </si>
  <si>
    <t>HU 22712226   
SIGCX_22712226_Transações_Pendentes_Autorizar_Pix_Automático_com_Leitura_QR_Code_STM</t>
  </si>
  <si>
    <t>HU 22712226   
SIGCX_22712226_Transações_Pendentes_Autorizar_Pix_Automático_com_Leitura_QR_Code_STM_Imprimir_Comprovante</t>
  </si>
  <si>
    <t>HU 22712226   
SIGCX_22712226_Transações_Pendentes_Detalhar_Pendência_do_Pix_Automático_com_Leitura_QR_Code_STM</t>
  </si>
  <si>
    <t>HU 22712226   
SIGCX_22712226_Transações_Pendentes_Cancelar_Pendência_do_Pix_Automático_com_Leitura_QR_Code_STM</t>
  </si>
  <si>
    <t>HU 22712226   
SIGCX_22712226_Transações_Pendentes_Cancelar_Pendência_do_Pix_Automático_com_Leitura_QR_Code_STM_Imprimir_Comprovante</t>
  </si>
  <si>
    <t>HU 22713021   
SIGCX_22713021_Editar_Autorização_Ativa_Pix_Automático_Criar_Pendência_STM</t>
  </si>
  <si>
    <t>HU 22713021   
SIGCX_22713021_Editar_Autorização_Ativa_Pix_Automático_Criar_Pendência_STM_Imprimir_Comprovante</t>
  </si>
  <si>
    <t>HU 22713021   
SIGCX_22713021_Cancelar_Autorização_Ativa_Pix_Automático_Criar_Pendência_STM</t>
  </si>
  <si>
    <t>HU 22713021   
SIGCX_22713021_Cancelar_Autorização_Ativa_Pix_Automático_Criar_Pendência_STM_Imprimir_Comprovante</t>
  </si>
  <si>
    <t>HU 22713021   
SIGCX_22713021_Transações_Pendentes_Autorizar_Edição_Autorização_Ativa_do_Pix_Automática_STM</t>
  </si>
  <si>
    <t>HU 22713021   
SIGCX_22713021_Transações_Pendentes_Autorizar_Edição_Autorização_Ativa_do_Pix_Automática_STM_Imprimir_Comprovante</t>
  </si>
  <si>
    <t>HU 22713021   
SIGCX_22713021_Transações_Pendentes_Autorizar_Pendência_do_Cancelamento_da_Autorização_Ativa_do_Pix_Automática_STM</t>
  </si>
  <si>
    <t>HU 22713021   
SIGCX_22713021_Transações_Pendentes_Autorizar_Pendência_do_Cancelamento_da_Autorização_Ativa_do_Pix_Automática_STM_Imprimir_Comprovante</t>
  </si>
  <si>
    <t>HU 22713021   
SIGCX_22713021_Transações_Pendentes_Detalhar_Pendência_do_Cancelamento_da_Autorização_Ativa_Pix_Automático_STM</t>
  </si>
  <si>
    <t>HU 22713021   
SIGCX_22713021_Transações_Pendentes_Detalhar_Pendência_da_Edição_Autorização_Ativa_do_Pix_Automático_STM</t>
  </si>
  <si>
    <t>HU 23298839   
SIGCX_23298839_Autorização_Pix_Automático</t>
  </si>
  <si>
    <t>23298523
SIGCX_23298523_Rejitar_Autorização_Pendente_de_Pix_Automático</t>
  </si>
  <si>
    <t xml:space="preserve">Criar Pendência de Pix Automático com Leitura de QR Code - STM
</t>
  </si>
  <si>
    <t xml:space="preserve">Criar Pendência de Pix Automático com Leitura de QR Code - STM - Imprimir Comprovante de Pendência
</t>
  </si>
  <si>
    <t xml:space="preserve">Transações Pendentes - Autorizar Pix Automático com Leitura de QR Code - STM
</t>
  </si>
  <si>
    <t xml:space="preserve">Transações Pendentes - Autorizar Pix Automático com Leitura de QR Code - STM - Imprimir Comprovante
</t>
  </si>
  <si>
    <t xml:space="preserve">Transações Pendentes - Detalhar Pendência do Pix Automático com Leitura de QR Code - STM
</t>
  </si>
  <si>
    <t xml:space="preserve">Transações Pendentes - Cancelar Pendência do Pix Automático com Leitura de QR Code - STM
</t>
  </si>
  <si>
    <t xml:space="preserve">Transações Pendentes - Cancelar Pendência do Pix Automático com Leitura de QR Code - STM - Imprimir Comprovante
</t>
  </si>
  <si>
    <t xml:space="preserve">Editar Autorização Ativa de Pix Automático - Criar Pendência - STM
</t>
  </si>
  <si>
    <t xml:space="preserve">Editar Autorização Ativa de Pix Automático - Criar Pendência - STM - Imprimir Comprovante
</t>
  </si>
  <si>
    <t xml:space="preserve">Cancelar Autorização Ativa de Pix Automático - Criar Pendência - STM
</t>
  </si>
  <si>
    <t xml:space="preserve">Cancelar Autorização Ativa de Pix Automático - Criar Pendência - STM - Imprimir Comprovante
</t>
  </si>
  <si>
    <t xml:space="preserve">Transações Pendentes - Autorizar Edição da Autorização Ativa do Pix Automático - STM
</t>
  </si>
  <si>
    <t xml:space="preserve">Transações Pendentes - Autorizar Edição da Autorização Ativa do Pix Automático - STM - Imprimir Comprovante
</t>
  </si>
  <si>
    <t xml:space="preserve">Transações Pendentes - Autorizar Pendência do Cancelamento da Autorização Ativa do Pix Automático - STM - Imprimir Comprovante
</t>
  </si>
  <si>
    <t xml:space="preserve">Transações Pendentes - Detalhar Pendência do Cancelamento da Autorização Ativa do Pix Automático - STM
</t>
  </si>
  <si>
    <t xml:space="preserve">Transações Pendentes - Detalhar Pendência da Edição da Autorização Ativa do Pix Automático - STM
</t>
  </si>
  <si>
    <t xml:space="preserve">Rejeitar Autorização Pendente de Pix Automático
</t>
  </si>
  <si>
    <t xml:space="preserve">Transações Pendentes - Autorizar Pendência do Cancelamento da Autorização Ativa do Pix Automático - STM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</si>
</sst>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4">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0" fillId="26" borderId="30" xfId="0" applyFill="1" applyBorder="1" applyAlignment="1">
      <alignment horizontal="center" vertical="center"/>
    </xf>
    <xf numFmtId="0" fontId="0" fillId="26" borderId="30" xfId="0" applyFill="1" applyBorder="1" applyAlignment="1">
      <alignment horizontal="left" vertical="center" wrapText="1"/>
    </xf>
    <xf numFmtId="0" fontId="0" fillId="26" borderId="30" xfId="0" applyFill="1" applyBorder="1" applyAlignment="1">
      <alignment horizontal="left" vertical="center"/>
    </xf>
    <xf numFmtId="0" fontId="28" fillId="26" borderId="10" xfId="41" applyFont="1" applyFill="1" applyBorder="1" applyAlignment="1">
      <alignment horizontal="center" vertical="center" wrapText="1"/>
    </xf>
    <xf numFmtId="0" fontId="27" fillId="26" borderId="10" xfId="0" applyFont="1" applyFill="1" applyBorder="1" applyAlignment="1">
      <alignment horizontal="left" vertical="center" wrapText="1"/>
    </xf>
    <xf numFmtId="0" fontId="27" fillId="26" borderId="0" xfId="0" applyFont="1" applyFill="1" applyAlignment="1">
      <alignmen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7" fillId="26" borderId="0" xfId="0" applyFont="1" applyFill="1" applyAlignment="1">
      <alignment horizontal="center"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40">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name val="Calibri"/>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39"/>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23" totalsRowCount="1" headerRowDxfId="38" dataDxfId="36" headerRowBorderDxfId="37">
  <autoFilter ref="A3:R22"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totalsRowLabel="Total" dataDxfId="35" totalsRowDxfId="17"/>
    <tableColumn id="2" xr3:uid="{00000000-0010-0000-0000-000002000000}" name="Tipo de_x000a_Mudança na_x000a_Funcionalidade" dataDxfId="34" totalsRowDxfId="16"/>
    <tableColumn id="3" xr3:uid="{00000000-0010-0000-0000-000003000000}" name="Itens Afetados " dataDxfId="33" totalsRowDxfId="15"/>
    <tableColumn id="4" xr3:uid="{00000000-0010-0000-0000-000004000000}" name="Descrição da Mudança" dataDxfId="20" totalsRowDxfId="14"/>
    <tableColumn id="5" xr3:uid="{00000000-0010-0000-0000-000005000000}" name="Artefato" dataDxfId="18" totalsRowDxfId="13"/>
    <tableColumn id="6" xr3:uid="{00000000-0010-0000-0000-000006000000}" name="Localização dos Artefatos" dataDxfId="19" totalsRowDxfId="12"/>
    <tableColumn id="7" xr3:uid="{00000000-0010-0000-0000-000007000000}" name="Versão do Artefato" dataDxfId="32" totalsRowDxfId="11"/>
    <tableColumn id="8" xr3:uid="{00000000-0010-0000-0000-000008000000}" name="Tipo de Mudança no Artefato" dataDxfId="31" totalsRowDxfId="10"/>
    <tableColumn id="9" xr3:uid="{00000000-0010-0000-0000-000009000000}" name="Tabela Impactada" dataDxfId="30" totalsRowDxfId="9"/>
    <tableColumn id="10" xr3:uid="{00000000-0010-0000-0000-00000A000000}" name="Tipo de Impacto" dataDxfId="29" totalsRowDxfId="8"/>
    <tableColumn id="17" xr3:uid="{00000000-0010-0000-0000-000011000000}" name="Descrição da Mudança na Tabela" dataDxfId="28" totalsRowDxfId="7"/>
    <tableColumn id="13" xr3:uid="{00000000-0010-0000-0000-00000D000000}" name="Coluna1" dataDxfId="27" totalsRowDxfId="6"/>
    <tableColumn id="14" xr3:uid="{00000000-0010-0000-0000-00000E000000}" name=" " dataDxfId="26" totalsRowDxfId="5"/>
    <tableColumn id="18" xr3:uid="{00000000-0010-0000-0000-000012000000}" name="  " dataDxfId="25" totalsRowDxfId="4"/>
    <tableColumn id="15" xr3:uid="{00000000-0010-0000-0000-00000F000000}" name="   " dataDxfId="24" totalsRowDxfId="3"/>
    <tableColumn id="11" xr3:uid="{00000000-0010-0000-0000-00000B000000}" name="    " dataDxfId="23" totalsRowDxfId="2"/>
    <tableColumn id="12" xr3:uid="{00000000-0010-0000-0000-00000C000000}" name="     " dataDxfId="22" totalsRowDxfId="1"/>
    <tableColumn id="16" xr3:uid="{00000000-0010-0000-0000-000010000000}" name="      " totalsRowFunction="count" dataDxfId="21" totalsRow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B11" sqref="B11"/>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1"/>
      <c r="C2" s="52"/>
      <c r="D2" s="63" t="s">
        <v>0</v>
      </c>
      <c r="E2" s="64"/>
      <c r="F2" s="4" t="s">
        <v>1</v>
      </c>
    </row>
    <row r="3" spans="2:9" ht="24.75" customHeight="1" x14ac:dyDescent="0.25">
      <c r="B3" s="53"/>
      <c r="C3" s="54"/>
      <c r="D3" s="65"/>
      <c r="E3" s="66"/>
      <c r="F3" s="5">
        <f ca="1">NOW()</f>
        <v>45901.616736805554</v>
      </c>
    </row>
    <row r="6" spans="2:9" s="3" customFormat="1" ht="18" customHeight="1" x14ac:dyDescent="0.25">
      <c r="B6" s="11" t="s">
        <v>2</v>
      </c>
      <c r="C6" s="58" t="s">
        <v>3</v>
      </c>
      <c r="D6" s="59"/>
      <c r="E6" s="11" t="s">
        <v>4</v>
      </c>
      <c r="F6" s="12"/>
    </row>
    <row r="7" spans="2:9" s="3" customFormat="1" ht="18" customHeight="1" x14ac:dyDescent="0.25">
      <c r="B7" s="11" t="s">
        <v>5</v>
      </c>
      <c r="C7" s="58" t="s">
        <v>60</v>
      </c>
      <c r="D7" s="59"/>
      <c r="E7" s="11" t="s">
        <v>6</v>
      </c>
      <c r="F7" s="12"/>
    </row>
    <row r="8" spans="2:9" ht="19.5" customHeight="1" x14ac:dyDescent="0.25"/>
    <row r="9" spans="2:9" ht="13.8" x14ac:dyDescent="0.25">
      <c r="B9" s="6" t="s">
        <v>7</v>
      </c>
    </row>
    <row r="10" spans="2:9" s="3" customFormat="1" ht="17.25" customHeight="1" x14ac:dyDescent="0.25">
      <c r="B10" s="13" t="s">
        <v>8</v>
      </c>
      <c r="C10" s="13" t="s">
        <v>9</v>
      </c>
      <c r="D10" s="67" t="s">
        <v>10</v>
      </c>
      <c r="E10" s="67"/>
      <c r="F10" s="13" t="s">
        <v>11</v>
      </c>
    </row>
    <row r="11" spans="2:9" s="3" customFormat="1" ht="30" customHeight="1" x14ac:dyDescent="0.25">
      <c r="B11" s="38">
        <v>45838</v>
      </c>
      <c r="C11" s="13" t="s">
        <v>12</v>
      </c>
      <c r="D11" s="49" t="s">
        <v>13</v>
      </c>
      <c r="E11" s="50"/>
      <c r="F11" s="13" t="s">
        <v>61</v>
      </c>
      <c r="I11" s="39"/>
    </row>
    <row r="12" spans="2:9" s="3" customFormat="1" ht="17.25" customHeight="1" x14ac:dyDescent="0.25">
      <c r="B12" s="13"/>
      <c r="C12" s="13"/>
      <c r="D12" s="68"/>
      <c r="E12" s="50"/>
      <c r="F12" s="13"/>
    </row>
    <row r="13" spans="2:9" s="3" customFormat="1" ht="17.25" customHeight="1" x14ac:dyDescent="0.25">
      <c r="B13" s="13"/>
      <c r="C13" s="13"/>
      <c r="D13" s="68"/>
      <c r="E13" s="50"/>
      <c r="F13" s="13"/>
    </row>
    <row r="14" spans="2:9" x14ac:dyDescent="0.25">
      <c r="B14" s="7"/>
      <c r="C14" s="7"/>
      <c r="D14" s="10"/>
      <c r="E14" s="10"/>
      <c r="F14" s="7"/>
    </row>
    <row r="15" spans="2:9" ht="13.8" x14ac:dyDescent="0.25">
      <c r="B15" s="6" t="s">
        <v>14</v>
      </c>
    </row>
    <row r="16" spans="2:9" ht="49.2" customHeight="1" x14ac:dyDescent="0.25">
      <c r="B16" s="55" t="s">
        <v>15</v>
      </c>
      <c r="C16" s="56"/>
      <c r="D16" s="56"/>
      <c r="E16" s="56"/>
      <c r="F16" s="57"/>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0"/>
      <c r="C20" s="61"/>
      <c r="D20" s="61"/>
      <c r="E20" s="61"/>
      <c r="F20" s="62"/>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23"/>
  <sheetViews>
    <sheetView showGridLines="0" tabSelected="1" topLeftCell="A4" zoomScale="110" zoomScaleNormal="110" workbookViewId="0">
      <selection activeCell="F5" sqref="F5"/>
    </sheetView>
  </sheetViews>
  <sheetFormatPr defaultRowHeight="13.2" x14ac:dyDescent="0.25"/>
  <cols>
    <col min="1" max="1" width="76.88671875" customWidth="1"/>
    <col min="2" max="2" width="17.33203125" style="9" customWidth="1"/>
    <col min="3" max="3" width="16.6640625" style="1" customWidth="1"/>
    <col min="4" max="4" width="65.664062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2" t="s">
        <v>18</v>
      </c>
      <c r="C1" s="72"/>
      <c r="D1" s="72"/>
      <c r="E1" s="72"/>
      <c r="F1" s="72"/>
      <c r="G1" s="72"/>
      <c r="H1" s="72"/>
    </row>
    <row r="2" spans="1:18" x14ac:dyDescent="0.25">
      <c r="B2" s="72"/>
      <c r="C2" s="72"/>
      <c r="D2" s="72"/>
      <c r="E2" s="72"/>
      <c r="F2" s="72"/>
      <c r="G2" s="72"/>
      <c r="H2" s="72"/>
      <c r="I2" s="73" t="s">
        <v>19</v>
      </c>
      <c r="J2" s="73"/>
      <c r="K2" s="74"/>
      <c r="L2" s="69" t="s">
        <v>20</v>
      </c>
      <c r="M2" s="70"/>
      <c r="N2" s="70"/>
      <c r="O2" s="70"/>
      <c r="P2" s="71"/>
      <c r="Q2" s="71"/>
      <c r="R2" s="71"/>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313.5" customHeight="1" x14ac:dyDescent="0.3">
      <c r="A4" s="48" t="s">
        <v>112</v>
      </c>
      <c r="B4" s="40" t="s">
        <v>62</v>
      </c>
      <c r="C4" s="42" t="s">
        <v>72</v>
      </c>
      <c r="D4" s="48" t="s">
        <v>73</v>
      </c>
      <c r="E4" s="83" t="s">
        <v>93</v>
      </c>
      <c r="F4" s="46" t="s">
        <v>74</v>
      </c>
      <c r="G4" s="40" t="s">
        <v>75</v>
      </c>
      <c r="H4" s="40" t="s">
        <v>39</v>
      </c>
      <c r="I4" s="40" t="s">
        <v>39</v>
      </c>
      <c r="J4" s="40" t="s">
        <v>39</v>
      </c>
      <c r="K4" s="40" t="s">
        <v>39</v>
      </c>
      <c r="L4" s="40"/>
      <c r="M4" s="40"/>
      <c r="N4" s="40"/>
      <c r="O4" s="40"/>
      <c r="P4" s="40"/>
      <c r="Q4" s="40"/>
      <c r="R4" s="40"/>
    </row>
    <row r="5" spans="1:18" s="41" customFormat="1" ht="313.5" customHeight="1" x14ac:dyDescent="0.3">
      <c r="A5" s="48" t="s">
        <v>113</v>
      </c>
      <c r="B5" s="40" t="s">
        <v>62</v>
      </c>
      <c r="C5" s="42" t="s">
        <v>72</v>
      </c>
      <c r="D5" s="47" t="s">
        <v>69</v>
      </c>
      <c r="E5" s="83" t="s">
        <v>94</v>
      </c>
      <c r="F5" s="46" t="s">
        <v>74</v>
      </c>
      <c r="G5" s="40" t="s">
        <v>75</v>
      </c>
      <c r="H5" s="40" t="s">
        <v>39</v>
      </c>
      <c r="I5" s="40" t="s">
        <v>39</v>
      </c>
      <c r="J5" s="40" t="s">
        <v>39</v>
      </c>
      <c r="K5" s="40" t="s">
        <v>39</v>
      </c>
      <c r="L5" s="40"/>
      <c r="M5" s="40"/>
      <c r="N5" s="40"/>
      <c r="O5" s="40"/>
      <c r="P5" s="40"/>
      <c r="Q5" s="40"/>
      <c r="R5" s="40"/>
    </row>
    <row r="6" spans="1:18" s="41" customFormat="1" ht="313.5" customHeight="1" x14ac:dyDescent="0.3">
      <c r="A6" s="48" t="s">
        <v>114</v>
      </c>
      <c r="B6" s="40" t="s">
        <v>62</v>
      </c>
      <c r="C6" s="42" t="s">
        <v>72</v>
      </c>
      <c r="D6" s="48" t="s">
        <v>76</v>
      </c>
      <c r="E6" s="83" t="s">
        <v>95</v>
      </c>
      <c r="F6" s="46" t="s">
        <v>74</v>
      </c>
      <c r="G6" s="40" t="s">
        <v>75</v>
      </c>
      <c r="H6" s="40" t="s">
        <v>39</v>
      </c>
      <c r="I6" s="40" t="s">
        <v>39</v>
      </c>
      <c r="J6" s="40" t="s">
        <v>39</v>
      </c>
      <c r="K6" s="40" t="s">
        <v>39</v>
      </c>
      <c r="L6" s="40"/>
      <c r="M6" s="40"/>
      <c r="N6" s="40"/>
      <c r="O6" s="40"/>
      <c r="P6" s="40"/>
      <c r="Q6" s="40"/>
      <c r="R6" s="40"/>
    </row>
    <row r="7" spans="1:18" s="41" customFormat="1" ht="313.5" customHeight="1" x14ac:dyDescent="0.3">
      <c r="A7" s="48" t="s">
        <v>115</v>
      </c>
      <c r="B7" s="40" t="s">
        <v>62</v>
      </c>
      <c r="C7" s="42" t="s">
        <v>72</v>
      </c>
      <c r="D7" s="47" t="s">
        <v>77</v>
      </c>
      <c r="E7" s="83" t="s">
        <v>96</v>
      </c>
      <c r="F7" s="46" t="s">
        <v>74</v>
      </c>
      <c r="G7" s="40" t="s">
        <v>75</v>
      </c>
      <c r="H7" s="40" t="s">
        <v>39</v>
      </c>
      <c r="I7" s="40" t="s">
        <v>39</v>
      </c>
      <c r="J7" s="40" t="s">
        <v>39</v>
      </c>
      <c r="K7" s="40" t="s">
        <v>39</v>
      </c>
      <c r="L7" s="40"/>
      <c r="M7" s="40"/>
      <c r="N7" s="40"/>
      <c r="O7" s="40"/>
      <c r="P7" s="40"/>
      <c r="Q7" s="40"/>
      <c r="R7" s="40"/>
    </row>
    <row r="8" spans="1:18" s="41" customFormat="1" ht="313.5" customHeight="1" x14ac:dyDescent="0.3">
      <c r="A8" s="48" t="s">
        <v>116</v>
      </c>
      <c r="B8" s="40" t="s">
        <v>62</v>
      </c>
      <c r="C8" s="42" t="s">
        <v>64</v>
      </c>
      <c r="D8" s="48" t="s">
        <v>78</v>
      </c>
      <c r="E8" s="83" t="s">
        <v>97</v>
      </c>
      <c r="F8" s="46" t="s">
        <v>74</v>
      </c>
      <c r="G8" s="40" t="s">
        <v>75</v>
      </c>
      <c r="H8" s="40" t="s">
        <v>39</v>
      </c>
      <c r="I8" s="40" t="s">
        <v>65</v>
      </c>
      <c r="J8" s="40" t="s">
        <v>62</v>
      </c>
      <c r="K8" s="42" t="s">
        <v>66</v>
      </c>
      <c r="L8" s="40"/>
      <c r="M8" s="40"/>
      <c r="N8" s="40"/>
      <c r="O8" s="40"/>
      <c r="P8" s="40"/>
      <c r="Q8" s="40"/>
      <c r="R8" s="40"/>
    </row>
    <row r="9" spans="1:18" s="41" customFormat="1" ht="313.5" customHeight="1" x14ac:dyDescent="0.3">
      <c r="A9" s="48" t="s">
        <v>117</v>
      </c>
      <c r="B9" s="40" t="s">
        <v>62</v>
      </c>
      <c r="C9" s="42" t="s">
        <v>79</v>
      </c>
      <c r="D9" s="48" t="s">
        <v>92</v>
      </c>
      <c r="E9" s="83" t="s">
        <v>98</v>
      </c>
      <c r="F9" s="46" t="s">
        <v>74</v>
      </c>
      <c r="G9" s="40" t="s">
        <v>75</v>
      </c>
      <c r="H9" s="40" t="s">
        <v>39</v>
      </c>
      <c r="I9" s="40" t="s">
        <v>39</v>
      </c>
      <c r="J9" s="40" t="s">
        <v>39</v>
      </c>
      <c r="K9" s="40" t="s">
        <v>39</v>
      </c>
      <c r="L9" s="40"/>
      <c r="M9" s="40"/>
      <c r="N9" s="40"/>
      <c r="O9" s="40"/>
      <c r="P9" s="40"/>
      <c r="Q9" s="40"/>
      <c r="R9" s="40"/>
    </row>
    <row r="10" spans="1:18" s="41" customFormat="1" ht="313.5" customHeight="1" x14ac:dyDescent="0.3">
      <c r="A10" s="48" t="s">
        <v>118</v>
      </c>
      <c r="B10" s="40" t="s">
        <v>62</v>
      </c>
      <c r="C10" s="42" t="s">
        <v>72</v>
      </c>
      <c r="D10" s="47" t="s">
        <v>80</v>
      </c>
      <c r="E10" s="83" t="s">
        <v>99</v>
      </c>
      <c r="F10" s="46" t="s">
        <v>74</v>
      </c>
      <c r="G10" s="40" t="s">
        <v>75</v>
      </c>
      <c r="H10" s="40" t="s">
        <v>39</v>
      </c>
      <c r="I10" s="40" t="s">
        <v>39</v>
      </c>
      <c r="J10" s="40" t="s">
        <v>39</v>
      </c>
      <c r="K10" s="40" t="s">
        <v>39</v>
      </c>
      <c r="L10" s="40"/>
      <c r="M10" s="40"/>
      <c r="N10" s="40"/>
      <c r="O10" s="40"/>
      <c r="P10" s="40"/>
      <c r="Q10" s="40"/>
      <c r="R10" s="40"/>
    </row>
    <row r="11" spans="1:18" s="41" customFormat="1" ht="313.5" customHeight="1" x14ac:dyDescent="0.3">
      <c r="A11" s="48" t="s">
        <v>119</v>
      </c>
      <c r="B11" s="40" t="s">
        <v>62</v>
      </c>
      <c r="C11" s="42" t="s">
        <v>72</v>
      </c>
      <c r="D11" s="47" t="s">
        <v>81</v>
      </c>
      <c r="E11" s="83" t="s">
        <v>100</v>
      </c>
      <c r="F11" s="46" t="s">
        <v>74</v>
      </c>
      <c r="G11" s="40" t="s">
        <v>75</v>
      </c>
      <c r="H11" s="40" t="s">
        <v>39</v>
      </c>
      <c r="I11" s="40" t="s">
        <v>39</v>
      </c>
      <c r="J11" s="40" t="s">
        <v>39</v>
      </c>
      <c r="K11" s="40" t="s">
        <v>39</v>
      </c>
      <c r="L11" s="40"/>
      <c r="M11" s="40"/>
      <c r="N11" s="40"/>
      <c r="O11" s="40"/>
      <c r="P11" s="40"/>
      <c r="Q11" s="40"/>
      <c r="R11" s="40"/>
    </row>
    <row r="12" spans="1:18" s="41" customFormat="1" ht="313.5" customHeight="1" x14ac:dyDescent="0.3">
      <c r="A12" s="48" t="s">
        <v>120</v>
      </c>
      <c r="B12" s="40" t="s">
        <v>62</v>
      </c>
      <c r="C12" s="42" t="s">
        <v>72</v>
      </c>
      <c r="D12" s="47" t="s">
        <v>82</v>
      </c>
      <c r="E12" s="83" t="s">
        <v>101</v>
      </c>
      <c r="F12" s="46" t="s">
        <v>74</v>
      </c>
      <c r="G12" s="40" t="s">
        <v>75</v>
      </c>
      <c r="H12" s="40" t="s">
        <v>39</v>
      </c>
      <c r="I12" s="40" t="s">
        <v>39</v>
      </c>
      <c r="J12" s="40" t="s">
        <v>39</v>
      </c>
      <c r="K12" s="40" t="s">
        <v>39</v>
      </c>
      <c r="L12" s="40"/>
      <c r="M12" s="40"/>
      <c r="N12" s="40"/>
      <c r="O12" s="40"/>
      <c r="P12" s="40"/>
      <c r="Q12" s="40"/>
      <c r="R12" s="40"/>
    </row>
    <row r="13" spans="1:18" s="41" customFormat="1" ht="313.5" customHeight="1" x14ac:dyDescent="0.3">
      <c r="A13" s="48" t="s">
        <v>121</v>
      </c>
      <c r="B13" s="40" t="s">
        <v>62</v>
      </c>
      <c r="C13" s="42" t="s">
        <v>72</v>
      </c>
      <c r="D13" s="48" t="s">
        <v>83</v>
      </c>
      <c r="E13" s="83" t="s">
        <v>102</v>
      </c>
      <c r="F13" s="46" t="s">
        <v>74</v>
      </c>
      <c r="G13" s="40" t="s">
        <v>75</v>
      </c>
      <c r="H13" s="40" t="s">
        <v>39</v>
      </c>
      <c r="I13" s="40" t="s">
        <v>39</v>
      </c>
      <c r="J13" s="40" t="s">
        <v>39</v>
      </c>
      <c r="K13" s="40" t="s">
        <v>39</v>
      </c>
      <c r="L13" s="40"/>
      <c r="M13" s="40"/>
      <c r="N13" s="40"/>
      <c r="O13" s="40"/>
      <c r="P13" s="40"/>
      <c r="Q13" s="40"/>
      <c r="R13" s="40"/>
    </row>
    <row r="14" spans="1:18" s="41" customFormat="1" ht="313.5" customHeight="1" x14ac:dyDescent="0.3">
      <c r="A14" s="48" t="s">
        <v>122</v>
      </c>
      <c r="B14" s="40" t="s">
        <v>62</v>
      </c>
      <c r="C14" s="42" t="s">
        <v>72</v>
      </c>
      <c r="D14" s="47" t="s">
        <v>84</v>
      </c>
      <c r="E14" s="83" t="s">
        <v>103</v>
      </c>
      <c r="F14" s="46" t="s">
        <v>74</v>
      </c>
      <c r="G14" s="40" t="s">
        <v>75</v>
      </c>
      <c r="H14" s="40" t="s">
        <v>39</v>
      </c>
      <c r="I14" s="40" t="s">
        <v>39</v>
      </c>
      <c r="J14" s="40" t="s">
        <v>39</v>
      </c>
      <c r="K14" s="40" t="s">
        <v>39</v>
      </c>
      <c r="L14" s="40"/>
      <c r="M14" s="40"/>
      <c r="N14" s="40"/>
      <c r="O14" s="40"/>
      <c r="P14" s="40"/>
      <c r="Q14" s="40"/>
      <c r="R14" s="40"/>
    </row>
    <row r="15" spans="1:18" s="41" customFormat="1" ht="313.5" customHeight="1" x14ac:dyDescent="0.3">
      <c r="A15" s="48" t="s">
        <v>123</v>
      </c>
      <c r="B15" s="40" t="s">
        <v>62</v>
      </c>
      <c r="C15" s="42" t="s">
        <v>64</v>
      </c>
      <c r="D15" s="48" t="s">
        <v>85</v>
      </c>
      <c r="E15" s="83" t="s">
        <v>104</v>
      </c>
      <c r="F15" s="46" t="s">
        <v>74</v>
      </c>
      <c r="G15" s="40" t="s">
        <v>75</v>
      </c>
      <c r="H15" s="40" t="s">
        <v>39</v>
      </c>
      <c r="I15" s="40" t="s">
        <v>39</v>
      </c>
      <c r="J15" s="40" t="s">
        <v>39</v>
      </c>
      <c r="K15" s="40" t="s">
        <v>39</v>
      </c>
      <c r="L15" s="40"/>
      <c r="M15" s="40"/>
      <c r="N15" s="40"/>
      <c r="O15" s="40"/>
      <c r="P15" s="40"/>
      <c r="Q15" s="40"/>
      <c r="R15" s="40"/>
    </row>
    <row r="16" spans="1:18" s="41" customFormat="1" ht="313.5" customHeight="1" x14ac:dyDescent="0.3">
      <c r="A16" s="48" t="s">
        <v>124</v>
      </c>
      <c r="B16" s="40" t="s">
        <v>62</v>
      </c>
      <c r="C16" s="42" t="s">
        <v>72</v>
      </c>
      <c r="D16" s="47" t="s">
        <v>86</v>
      </c>
      <c r="E16" s="83" t="s">
        <v>105</v>
      </c>
      <c r="F16" s="46" t="s">
        <v>74</v>
      </c>
      <c r="G16" s="40" t="s">
        <v>75</v>
      </c>
      <c r="H16" s="40" t="s">
        <v>39</v>
      </c>
      <c r="I16" s="40" t="s">
        <v>39</v>
      </c>
      <c r="J16" s="40" t="s">
        <v>39</v>
      </c>
      <c r="K16" s="40" t="s">
        <v>39</v>
      </c>
      <c r="L16" s="40"/>
      <c r="M16" s="40"/>
      <c r="N16" s="40"/>
      <c r="O16" s="40"/>
      <c r="P16" s="40"/>
      <c r="Q16" s="40"/>
      <c r="R16" s="40"/>
    </row>
    <row r="17" spans="1:18" s="41" customFormat="1" ht="313.5" customHeight="1" x14ac:dyDescent="0.3">
      <c r="A17" s="48" t="s">
        <v>129</v>
      </c>
      <c r="B17" s="40" t="s">
        <v>62</v>
      </c>
      <c r="C17" s="42" t="s">
        <v>72</v>
      </c>
      <c r="D17" s="48" t="s">
        <v>87</v>
      </c>
      <c r="E17" s="83" t="s">
        <v>106</v>
      </c>
      <c r="F17" s="46" t="s">
        <v>74</v>
      </c>
      <c r="G17" s="40" t="s">
        <v>75</v>
      </c>
      <c r="H17" s="40" t="s">
        <v>39</v>
      </c>
      <c r="I17" s="40" t="s">
        <v>39</v>
      </c>
      <c r="J17" s="40" t="s">
        <v>39</v>
      </c>
      <c r="K17" s="40" t="s">
        <v>39</v>
      </c>
      <c r="L17" s="40"/>
      <c r="M17" s="40"/>
      <c r="N17" s="40"/>
      <c r="O17" s="40"/>
      <c r="P17" s="40"/>
      <c r="Q17" s="40"/>
      <c r="R17" s="40"/>
    </row>
    <row r="18" spans="1:18" s="41" customFormat="1" ht="313.5" customHeight="1" x14ac:dyDescent="0.3">
      <c r="A18" s="48" t="s">
        <v>125</v>
      </c>
      <c r="B18" s="40" t="s">
        <v>62</v>
      </c>
      <c r="C18" s="42" t="s">
        <v>72</v>
      </c>
      <c r="D18" s="47" t="s">
        <v>88</v>
      </c>
      <c r="E18" s="83" t="s">
        <v>107</v>
      </c>
      <c r="F18" s="46" t="s">
        <v>74</v>
      </c>
      <c r="G18" s="40" t="s">
        <v>75</v>
      </c>
      <c r="H18" s="40" t="s">
        <v>39</v>
      </c>
      <c r="I18" s="40" t="s">
        <v>39</v>
      </c>
      <c r="J18" s="40" t="s">
        <v>39</v>
      </c>
      <c r="K18" s="40" t="s">
        <v>39</v>
      </c>
      <c r="L18" s="40"/>
      <c r="M18" s="40"/>
      <c r="N18" s="40"/>
      <c r="O18" s="40"/>
      <c r="P18" s="40"/>
      <c r="Q18" s="40"/>
      <c r="R18" s="40"/>
    </row>
    <row r="19" spans="1:18" s="41" customFormat="1" ht="313.5" customHeight="1" x14ac:dyDescent="0.3">
      <c r="A19" s="48" t="s">
        <v>126</v>
      </c>
      <c r="B19" s="40" t="s">
        <v>62</v>
      </c>
      <c r="C19" s="42" t="s">
        <v>64</v>
      </c>
      <c r="D19" s="48" t="s">
        <v>89</v>
      </c>
      <c r="E19" s="83" t="s">
        <v>108</v>
      </c>
      <c r="F19" s="46" t="s">
        <v>74</v>
      </c>
      <c r="G19" s="40" t="s">
        <v>75</v>
      </c>
      <c r="H19" s="40" t="s">
        <v>39</v>
      </c>
      <c r="I19" s="40" t="s">
        <v>65</v>
      </c>
      <c r="J19" s="40" t="s">
        <v>62</v>
      </c>
      <c r="K19" s="42" t="s">
        <v>66</v>
      </c>
      <c r="L19" s="40"/>
      <c r="M19" s="40"/>
      <c r="N19" s="40"/>
      <c r="O19" s="40"/>
      <c r="P19" s="40"/>
      <c r="Q19" s="40"/>
      <c r="R19" s="40"/>
    </row>
    <row r="20" spans="1:18" s="41" customFormat="1" ht="313.5" customHeight="1" x14ac:dyDescent="0.3">
      <c r="A20" s="48" t="s">
        <v>127</v>
      </c>
      <c r="B20" s="40" t="s">
        <v>62</v>
      </c>
      <c r="C20" s="42" t="s">
        <v>64</v>
      </c>
      <c r="D20" s="48" t="s">
        <v>90</v>
      </c>
      <c r="E20" s="83" t="s">
        <v>109</v>
      </c>
      <c r="F20" s="46" t="s">
        <v>74</v>
      </c>
      <c r="G20" s="40" t="s">
        <v>75</v>
      </c>
      <c r="H20" s="40" t="s">
        <v>39</v>
      </c>
      <c r="I20" s="40" t="s">
        <v>65</v>
      </c>
      <c r="J20" s="40" t="s">
        <v>62</v>
      </c>
      <c r="K20" s="42" t="s">
        <v>66</v>
      </c>
      <c r="L20" s="40"/>
      <c r="M20" s="40"/>
      <c r="N20" s="40"/>
      <c r="O20" s="40"/>
      <c r="P20" s="40"/>
      <c r="Q20" s="40"/>
      <c r="R20" s="40"/>
    </row>
    <row r="21" spans="1:18" s="41" customFormat="1" ht="313.5" customHeight="1" x14ac:dyDescent="0.3">
      <c r="A21" s="47" t="s">
        <v>68</v>
      </c>
      <c r="B21" s="40" t="s">
        <v>63</v>
      </c>
      <c r="C21" s="42" t="s">
        <v>70</v>
      </c>
      <c r="D21" s="48" t="s">
        <v>71</v>
      </c>
      <c r="E21" s="83" t="s">
        <v>110</v>
      </c>
      <c r="F21" s="46" t="s">
        <v>74</v>
      </c>
      <c r="G21" s="40" t="s">
        <v>75</v>
      </c>
      <c r="H21" s="40" t="s">
        <v>39</v>
      </c>
      <c r="I21" s="40" t="s">
        <v>39</v>
      </c>
      <c r="J21" s="40" t="s">
        <v>39</v>
      </c>
      <c r="K21" s="40" t="s">
        <v>39</v>
      </c>
      <c r="L21" s="40"/>
      <c r="M21" s="40"/>
      <c r="N21" s="40"/>
      <c r="O21" s="40"/>
      <c r="P21" s="40"/>
      <c r="Q21" s="40"/>
      <c r="R21" s="40"/>
    </row>
    <row r="22" spans="1:18" s="41" customFormat="1" ht="355.2" customHeight="1" x14ac:dyDescent="0.3">
      <c r="A22" s="47" t="s">
        <v>128</v>
      </c>
      <c r="B22" s="40" t="s">
        <v>63</v>
      </c>
      <c r="C22" s="42" t="s">
        <v>70</v>
      </c>
      <c r="D22" s="48" t="s">
        <v>91</v>
      </c>
      <c r="E22" s="83" t="s">
        <v>111</v>
      </c>
      <c r="F22" s="46" t="s">
        <v>74</v>
      </c>
      <c r="G22" s="40" t="s">
        <v>75</v>
      </c>
      <c r="H22" s="40" t="s">
        <v>39</v>
      </c>
      <c r="I22" s="40" t="s">
        <v>39</v>
      </c>
      <c r="J22" s="40" t="s">
        <v>39</v>
      </c>
      <c r="K22" s="40" t="s">
        <v>39</v>
      </c>
      <c r="L22" s="40"/>
      <c r="M22" s="40"/>
      <c r="N22" s="40"/>
      <c r="O22" s="40"/>
      <c r="P22" s="40"/>
      <c r="Q22" s="40"/>
      <c r="R22" s="40"/>
    </row>
    <row r="23" spans="1:18" hidden="1" x14ac:dyDescent="0.25">
      <c r="A23" s="43" t="s">
        <v>67</v>
      </c>
      <c r="B23" s="43"/>
      <c r="C23" s="43"/>
      <c r="D23" s="44"/>
      <c r="E23" s="44"/>
      <c r="F23" s="44"/>
      <c r="G23" s="43"/>
      <c r="H23" s="43"/>
      <c r="I23" s="45"/>
      <c r="J23" s="43"/>
      <c r="K23" s="45"/>
      <c r="L23" s="43"/>
      <c r="M23" s="43"/>
      <c r="N23" s="43"/>
      <c r="O23" s="43"/>
      <c r="P23" s="43"/>
      <c r="Q23" s="43"/>
      <c r="R23" s="43">
        <f>SUBTOTAL(103,FuncionalidadesImpactadas[[      ]])</f>
        <v>0</v>
      </c>
    </row>
  </sheetData>
  <mergeCells count="3">
    <mergeCell ref="L2:R2"/>
    <mergeCell ref="B1:H2"/>
    <mergeCell ref="I2:K2"/>
  </mergeCells>
  <phoneticPr fontId="3" type="noConversion"/>
  <dataValidations count="2">
    <dataValidation type="list" allowBlank="1" showInputMessage="1" showErrorMessage="1" sqref="I4:K7 J8 I9:K18 J19:J20 H4:H20 H21:K22" xr:uid="{00000000-0002-0000-0100-000000000000}">
      <formula1>"I,A,E,N/A"</formula1>
    </dataValidation>
    <dataValidation type="list" allowBlank="1" showInputMessage="1" showErrorMessage="1" sqref="B4:B22"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2" t="s">
        <v>40</v>
      </c>
      <c r="C1" s="72"/>
      <c r="D1" s="72"/>
      <c r="E1" s="72"/>
    </row>
    <row r="2" spans="1:10" s="3" customFormat="1" ht="27" customHeight="1" thickBot="1" x14ac:dyDescent="0.3">
      <c r="A2" s="2"/>
      <c r="B2" s="72"/>
      <c r="C2" s="72"/>
      <c r="D2" s="72"/>
      <c r="E2" s="72"/>
      <c r="F2" s="76" t="s">
        <v>41</v>
      </c>
      <c r="G2" s="76"/>
      <c r="H2" s="76"/>
      <c r="I2" s="76"/>
      <c r="J2" s="76"/>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7" t="s">
        <v>44</v>
      </c>
      <c r="B4" s="33"/>
      <c r="C4" s="33"/>
      <c r="D4" s="25"/>
      <c r="E4" s="34"/>
      <c r="F4" s="34"/>
      <c r="G4" s="34"/>
      <c r="H4" s="25"/>
      <c r="I4" s="34"/>
      <c r="J4" s="25"/>
    </row>
    <row r="5" spans="1:10" ht="19.5" customHeight="1" x14ac:dyDescent="0.25">
      <c r="A5" s="75"/>
      <c r="B5" s="27"/>
      <c r="C5" s="27"/>
      <c r="D5" s="26"/>
      <c r="E5" s="28"/>
      <c r="F5" s="28"/>
      <c r="G5" s="28"/>
      <c r="H5" s="26"/>
      <c r="I5" s="28"/>
      <c r="J5" s="26"/>
    </row>
    <row r="6" spans="1:10" ht="19.5" customHeight="1" x14ac:dyDescent="0.25">
      <c r="A6" s="75"/>
      <c r="B6" s="27"/>
      <c r="C6" s="27"/>
      <c r="D6" s="26"/>
      <c r="E6" s="28"/>
      <c r="F6" s="28"/>
      <c r="G6" s="28"/>
      <c r="H6" s="26"/>
      <c r="I6" s="28"/>
      <c r="J6" s="26"/>
    </row>
    <row r="7" spans="1:10" ht="19.5" customHeight="1" x14ac:dyDescent="0.25">
      <c r="A7" s="75" t="s">
        <v>45</v>
      </c>
      <c r="B7" s="27"/>
      <c r="C7" s="27"/>
      <c r="D7" s="26"/>
      <c r="E7" s="28"/>
      <c r="F7" s="28"/>
      <c r="G7" s="28"/>
      <c r="H7" s="26"/>
      <c r="I7" s="28"/>
      <c r="J7" s="26"/>
    </row>
    <row r="8" spans="1:10" ht="19.5" customHeight="1" x14ac:dyDescent="0.25">
      <c r="A8" s="75"/>
      <c r="B8" s="27"/>
      <c r="C8" s="27"/>
      <c r="D8" s="26"/>
      <c r="E8" s="28"/>
      <c r="F8" s="28"/>
      <c r="G8" s="28"/>
      <c r="H8" s="26"/>
      <c r="I8" s="28"/>
      <c r="J8" s="26"/>
    </row>
    <row r="9" spans="1:10" ht="19.5" customHeight="1" x14ac:dyDescent="0.25">
      <c r="A9" s="75"/>
      <c r="B9" s="27"/>
      <c r="C9" s="27"/>
      <c r="D9" s="26"/>
      <c r="E9" s="28"/>
      <c r="F9" s="28"/>
      <c r="G9" s="28"/>
      <c r="H9" s="26"/>
      <c r="I9" s="28"/>
      <c r="J9" s="26"/>
    </row>
    <row r="10" spans="1:10" ht="19.5" customHeight="1" x14ac:dyDescent="0.25">
      <c r="A10" s="75" t="s">
        <v>46</v>
      </c>
      <c r="B10" s="27"/>
      <c r="C10" s="27"/>
      <c r="D10" s="26"/>
      <c r="E10" s="28"/>
      <c r="F10" s="28"/>
      <c r="G10" s="28"/>
      <c r="H10" s="26"/>
      <c r="I10" s="28"/>
      <c r="J10" s="26"/>
    </row>
    <row r="11" spans="1:10" ht="19.5" customHeight="1" x14ac:dyDescent="0.25">
      <c r="A11" s="75"/>
      <c r="B11" s="27"/>
      <c r="C11" s="27"/>
      <c r="D11" s="26"/>
      <c r="E11" s="28"/>
      <c r="F11" s="28"/>
      <c r="G11" s="28"/>
      <c r="H11" s="26"/>
      <c r="I11" s="28"/>
      <c r="J11" s="26"/>
    </row>
    <row r="12" spans="1:10" ht="19.5" customHeight="1" x14ac:dyDescent="0.25">
      <c r="A12" s="75"/>
      <c r="B12" s="27"/>
      <c r="C12" s="27"/>
      <c r="D12" s="26"/>
      <c r="E12" s="28"/>
      <c r="F12" s="28"/>
      <c r="G12" s="28"/>
      <c r="H12" s="26"/>
      <c r="I12" s="28"/>
      <c r="J12" s="26"/>
    </row>
    <row r="13" spans="1:10" ht="19.5" customHeight="1" x14ac:dyDescent="0.25">
      <c r="A13" s="75" t="s">
        <v>47</v>
      </c>
      <c r="B13" s="27"/>
      <c r="C13" s="27"/>
      <c r="D13" s="26"/>
      <c r="E13" s="28"/>
      <c r="F13" s="28"/>
      <c r="G13" s="28"/>
      <c r="H13" s="26"/>
      <c r="I13" s="28"/>
      <c r="J13" s="26"/>
    </row>
    <row r="14" spans="1:10" ht="19.5" customHeight="1" x14ac:dyDescent="0.25">
      <c r="A14" s="75"/>
      <c r="B14" s="27"/>
      <c r="C14" s="27"/>
      <c r="D14" s="26"/>
      <c r="E14" s="28"/>
      <c r="F14" s="28"/>
      <c r="G14" s="28"/>
      <c r="H14" s="26"/>
      <c r="I14" s="28"/>
      <c r="J14" s="26"/>
    </row>
    <row r="15" spans="1:10" ht="19.5" customHeight="1" x14ac:dyDescent="0.25">
      <c r="A15" s="75"/>
      <c r="B15" s="27"/>
      <c r="C15" s="27"/>
      <c r="D15" s="26"/>
      <c r="E15" s="28"/>
      <c r="F15" s="28"/>
      <c r="G15" s="28"/>
      <c r="H15" s="26"/>
      <c r="I15" s="28"/>
      <c r="J15" s="26"/>
    </row>
    <row r="16" spans="1:10" ht="19.5" customHeight="1" x14ac:dyDescent="0.25">
      <c r="A16" s="75" t="s">
        <v>48</v>
      </c>
      <c r="B16" s="27"/>
      <c r="C16" s="27"/>
      <c r="D16" s="26"/>
      <c r="E16" s="28"/>
      <c r="F16" s="28"/>
      <c r="G16" s="28"/>
      <c r="H16" s="26"/>
      <c r="I16" s="28"/>
      <c r="J16" s="26"/>
    </row>
    <row r="17" spans="1:10" ht="19.5" customHeight="1" x14ac:dyDescent="0.25">
      <c r="A17" s="75"/>
      <c r="B17" s="27"/>
      <c r="C17" s="27"/>
      <c r="D17" s="26"/>
      <c r="E17" s="28"/>
      <c r="F17" s="28"/>
      <c r="G17" s="28"/>
      <c r="H17" s="26"/>
      <c r="I17" s="28"/>
      <c r="J17" s="26"/>
    </row>
    <row r="18" spans="1:10" ht="19.5" customHeight="1" x14ac:dyDescent="0.25">
      <c r="A18" s="75"/>
      <c r="B18" s="27"/>
      <c r="C18" s="27"/>
      <c r="D18" s="26"/>
      <c r="E18" s="28"/>
      <c r="F18" s="28"/>
      <c r="G18" s="28"/>
      <c r="H18" s="26"/>
      <c r="I18" s="28"/>
      <c r="J18" s="26"/>
    </row>
    <row r="19" spans="1:10" ht="19.5" customHeight="1" x14ac:dyDescent="0.25">
      <c r="A19" s="75" t="s">
        <v>49</v>
      </c>
      <c r="B19" s="27"/>
      <c r="C19" s="27"/>
      <c r="D19" s="26"/>
      <c r="E19" s="28"/>
      <c r="F19" s="28"/>
      <c r="G19" s="28"/>
      <c r="H19" s="26"/>
      <c r="I19" s="28"/>
      <c r="J19" s="26"/>
    </row>
    <row r="20" spans="1:10" ht="19.5" customHeight="1" x14ac:dyDescent="0.25">
      <c r="A20" s="75"/>
      <c r="B20" s="27"/>
      <c r="C20" s="27"/>
      <c r="D20" s="26"/>
      <c r="E20" s="28"/>
      <c r="F20" s="28"/>
      <c r="G20" s="28"/>
      <c r="H20" s="26"/>
      <c r="I20" s="28"/>
      <c r="J20" s="26"/>
    </row>
    <row r="21" spans="1:10" ht="19.5" customHeight="1" x14ac:dyDescent="0.25">
      <c r="A21" s="75"/>
      <c r="B21" s="27"/>
      <c r="C21" s="27"/>
      <c r="D21" s="26"/>
      <c r="E21" s="28"/>
      <c r="F21" s="28"/>
      <c r="G21" s="28"/>
      <c r="H21" s="26"/>
      <c r="I21" s="28"/>
      <c r="J21" s="26"/>
    </row>
    <row r="22" spans="1:10" ht="19.5" customHeight="1" x14ac:dyDescent="0.25">
      <c r="A22" s="75" t="s">
        <v>50</v>
      </c>
      <c r="B22" s="27"/>
      <c r="C22" s="27"/>
      <c r="D22" s="26"/>
      <c r="E22" s="28"/>
      <c r="F22" s="28"/>
      <c r="G22" s="28"/>
      <c r="H22" s="26"/>
      <c r="I22" s="28"/>
      <c r="J22" s="26"/>
    </row>
    <row r="23" spans="1:10" ht="19.5" customHeight="1" x14ac:dyDescent="0.25">
      <c r="A23" s="75"/>
      <c r="B23" s="27"/>
      <c r="C23" s="27"/>
      <c r="D23" s="26"/>
      <c r="E23" s="28"/>
      <c r="F23" s="28"/>
      <c r="G23" s="28"/>
      <c r="H23" s="26"/>
      <c r="I23" s="28"/>
      <c r="J23" s="26"/>
    </row>
    <row r="24" spans="1:10" ht="19.5" customHeight="1" x14ac:dyDescent="0.25">
      <c r="A24" s="75"/>
      <c r="B24" s="27"/>
      <c r="C24" s="27"/>
      <c r="D24" s="26"/>
      <c r="E24" s="28"/>
      <c r="F24" s="28"/>
      <c r="G24" s="28"/>
      <c r="H24" s="26"/>
      <c r="I24" s="28"/>
      <c r="J24" s="26"/>
    </row>
    <row r="25" spans="1:10" ht="19.5" customHeight="1" x14ac:dyDescent="0.25">
      <c r="A25" s="75"/>
      <c r="B25" s="27"/>
      <c r="C25" s="27"/>
      <c r="D25" s="26"/>
      <c r="E25" s="28"/>
      <c r="F25" s="28"/>
      <c r="G25" s="28"/>
      <c r="H25" s="26"/>
      <c r="I25" s="28"/>
      <c r="J25" s="26"/>
    </row>
    <row r="26" spans="1:10" ht="19.5" customHeight="1" x14ac:dyDescent="0.25">
      <c r="A26" s="75" t="s">
        <v>51</v>
      </c>
      <c r="B26" s="27"/>
      <c r="C26" s="27"/>
      <c r="D26" s="26"/>
      <c r="E26" s="28"/>
      <c r="F26" s="28"/>
      <c r="G26" s="28"/>
      <c r="H26" s="26"/>
      <c r="I26" s="28"/>
      <c r="J26" s="26"/>
    </row>
    <row r="27" spans="1:10" ht="19.5" customHeight="1" x14ac:dyDescent="0.25">
      <c r="A27" s="75"/>
      <c r="B27" s="27"/>
      <c r="C27" s="27"/>
      <c r="D27" s="26"/>
      <c r="E27" s="28"/>
      <c r="F27" s="28"/>
      <c r="G27" s="28"/>
      <c r="H27" s="26"/>
      <c r="I27" s="28"/>
      <c r="J27" s="26"/>
    </row>
    <row r="28" spans="1:10" ht="19.5" customHeight="1" x14ac:dyDescent="0.25">
      <c r="A28" s="75"/>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1"/>
      <c r="C2" s="52"/>
      <c r="D2" s="63" t="s">
        <v>0</v>
      </c>
      <c r="E2" s="64"/>
      <c r="F2" s="4" t="s">
        <v>1</v>
      </c>
    </row>
    <row r="3" spans="2:6" ht="24.75" customHeight="1" x14ac:dyDescent="0.25">
      <c r="B3" s="53"/>
      <c r="C3" s="54"/>
      <c r="D3" s="65"/>
      <c r="E3" s="66"/>
      <c r="F3" s="5">
        <f ca="1">NOW()</f>
        <v>45901.616736805554</v>
      </c>
    </row>
    <row r="4" spans="2:6" ht="27" customHeight="1" x14ac:dyDescent="0.25">
      <c r="B4" s="9"/>
      <c r="C4" s="9"/>
      <c r="D4" s="17"/>
      <c r="E4" s="17"/>
      <c r="F4" s="18"/>
    </row>
    <row r="6" spans="2:6" ht="13.8" x14ac:dyDescent="0.25">
      <c r="B6" s="80" t="s">
        <v>52</v>
      </c>
      <c r="C6" s="80"/>
      <c r="D6" s="80"/>
      <c r="E6" s="80"/>
      <c r="F6" s="80"/>
    </row>
    <row r="7" spans="2:6" ht="8.25" customHeight="1" x14ac:dyDescent="0.25">
      <c r="B7" s="16"/>
      <c r="C7" s="16"/>
      <c r="D7" s="16"/>
      <c r="E7" s="16"/>
      <c r="F7" s="16"/>
    </row>
    <row r="8" spans="2:6" s="3" customFormat="1" ht="17.25" customHeight="1" x14ac:dyDescent="0.25">
      <c r="B8" s="13" t="s">
        <v>8</v>
      </c>
      <c r="C8" s="13" t="s">
        <v>9</v>
      </c>
      <c r="D8" s="67" t="s">
        <v>10</v>
      </c>
      <c r="E8" s="67"/>
      <c r="F8" s="13" t="s">
        <v>11</v>
      </c>
    </row>
    <row r="9" spans="2:6" s="3" customFormat="1" ht="29.25" customHeight="1" x14ac:dyDescent="0.25">
      <c r="B9" s="15">
        <v>44552</v>
      </c>
      <c r="C9" s="14" t="s">
        <v>53</v>
      </c>
      <c r="D9" s="81" t="s">
        <v>54</v>
      </c>
      <c r="E9" s="82"/>
      <c r="F9" s="14" t="s">
        <v>55</v>
      </c>
    </row>
    <row r="10" spans="2:6" s="3" customFormat="1" ht="17.25" customHeight="1" x14ac:dyDescent="0.25">
      <c r="B10" s="35">
        <v>44635</v>
      </c>
      <c r="C10" s="36" t="s">
        <v>56</v>
      </c>
      <c r="D10" s="78" t="s">
        <v>57</v>
      </c>
      <c r="E10" s="79"/>
      <c r="F10" s="36" t="s">
        <v>55</v>
      </c>
    </row>
    <row r="11" spans="2:6" s="3" customFormat="1" ht="17.25" customHeight="1" x14ac:dyDescent="0.25">
      <c r="B11" s="35">
        <v>44676</v>
      </c>
      <c r="C11" s="36" t="s">
        <v>58</v>
      </c>
      <c r="D11" s="78" t="s">
        <v>59</v>
      </c>
      <c r="E11" s="79"/>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4.xml><?xml version="1.0" encoding="utf-8"?>
<ds:datastoreItem xmlns:ds="http://schemas.openxmlformats.org/officeDocument/2006/customXml" ds:itemID="{E0C51C86-73A3-4ABC-A766-214D268885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2025-09-01T17:48:10Z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