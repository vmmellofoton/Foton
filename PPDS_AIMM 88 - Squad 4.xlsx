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EstaPastaDeTrabalho"/>
  <mc:AlternateContent xmlns:mc="http://schemas.openxmlformats.org/markup-compatibility/2006">
    <mc:Choice Requires="x15">
      <x15ac:absPath xmlns:x15ac="http://schemas.microsoft.com/office/spreadsheetml/2010/11/ac" url="D:\Desktop\AIMM\Sprint 88 - Atual\"/>
    </mc:Choice>
  </mc:AlternateContent>
  <xr:revisionPtr revIDLastSave="0" documentId="13_ncr:1_{33AAEDF9-091D-4355-B797-DC89BAB3AA9D}" xr6:coauthVersionLast="47" xr6:coauthVersionMax="47" xr10:uidLastSave="{00000000-0000-0000-0000-000000000000}"/>
  <bookViews>
    <workbookView xWindow="-120" yWindow="-120" windowWidth="20730" windowHeight="11040"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workbook>
</file>

<file path=xl/calcChain.xml><?xml version="1.0" encoding="utf-8"?>
<calcChain xmlns="http://schemas.openxmlformats.org/spreadsheetml/2006/main">
  <c r="R27" i="9" l="1"/>
  <c r="F3" i="10"/>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r>
      </text>
    </comment>
    <comment ref="F6" authorId="1" shapeId="0" xr:uid="{00000000-0006-0000-0000-000002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r>
      </text>
    </comment>
    <comment ref="B20" authorId="2" shapeId="0" xr:uid="{00000000-0006-0000-0000-000003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r>
      </text>
    </comment>
    <comment ref="B3" authorId="1" shapeId="0" xr:uid="{00000000-0006-0000-0100-000002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r>
      </text>
    </comment>
    <comment ref="C3" authorId="2" shapeId="0" xr:uid="{00000000-0006-0000-0100-000003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r>
      </text>
    </comment>
    <comment ref="D3" authorId="3" shapeId="0" xr:uid="{00000000-0006-0000-0100-000004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r>
      </text>
    </comment>
    <comment ref="E3" authorId="4" shapeId="0" xr:uid="{00000000-0006-0000-0100-000005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r>
      </text>
    </comment>
    <comment ref="F3" authorId="5" shapeId="0" xr:uid="{00000000-0006-0000-0100-000006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r>
      </text>
    </comment>
    <comment ref="G3" authorId="6" shapeId="0" xr:uid="{00000000-0006-0000-0100-000007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r>
      </text>
    </comment>
    <comment ref="H3" authorId="7" shapeId="0" xr:uid="{00000000-0006-0000-0100-000008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r>
      </text>
    </comment>
    <comment ref="I3" authorId="8" shapeId="0" xr:uid="{00000000-0006-0000-0100-000009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r>
      </text>
    </comment>
    <comment ref="J3" authorId="9" shapeId="0" xr:uid="{00000000-0006-0000-0100-00000A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<sst xmlns="http://schemas.openxmlformats.org/spreadsheetml/2006/main" count="303" uniqueCount="119">
  <si>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</si>
  <si>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</si>
  <si>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</si>
  <si>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</si>
  <si>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</si>
  <si>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</si>
  <si>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</si>
  <si>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</si>
  <si>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</si>
  <si>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</si>
  <si>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</si>
  <si>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</si>
  <si>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</si>
  <si>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</si>
  <si>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</si>
  <si>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</si>
  <si>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</si>
  <si>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</si>
  <si>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</si>
  <si>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</si>
  <si>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</si>
  <si>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</si>
  <si>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</si>
  <si>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</si>
  <si>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</si>
  <si>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</si>
  <si>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</si>
  <si>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</si>
  <si>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</si>
  <si>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</si>
  <si>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</si>
  <si>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</si>
  <si>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</si>
  <si>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</si>
  <si>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</si>
  <si>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</si>
  <si>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</si>
  <si>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</si>
  <si>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</si>
  <si>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</si>
  <si>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</si>
  <si>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</si>
  <si>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</si>
  <si>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</si>
  <si>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</si>
  <si>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</si>
  <si>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</si>
  <si>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</si>
  <si>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</si>
  <si>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</si>
  <si>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</si>
  <si>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</si>
  <si>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</si>
  <si>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</si>
  <si>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</si>
  <si>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</si>
  <si>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</si>
  <si>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</si>
  <si>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</si>
  <si>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</si>
  <si>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</si>
  <si>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</si>
  <si>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I</t>
  </si>
  <si>
    <t>A</t>
  </si>
  <si>
    <t xml:space="preserve">E/S
RN/LP
EAD
</t>
  </si>
  <si>
    <t>Sistema Externo (SIMTX)</t>
  </si>
  <si>
    <t>Recupera os Campos:
- Informações do recebedor
- Informações do cliente
- Informações do pagador
- Informações adicionais</t>
  </si>
  <si>
    <t>Total</t>
  </si>
  <si>
    <t xml:space="preserve">Autorização de Pix Automático
</t>
  </si>
  <si>
    <t>Incluir funcionalidade para:
Desenvolvimento da funcionalidade de impressão do comprovante de Cancelamento de Agendamento de pix automático,</t>
  </si>
  <si>
    <t xml:space="preserve">RNF
</t>
  </si>
  <si>
    <t xml:space="preserve">Atualizar Pop-Up exibido na jornada do pagador (Jornada 4), que aparece após o pagamento com QR Code, adicionando ícone de “fechar” no canto superior direito.
</t>
  </si>
  <si>
    <t xml:space="preserve">E/S
RN/LP
</t>
  </si>
  <si>
    <t>Incluir funcionalidade para:
Permitir inclusão da Pendência da Autorização do Pix Automático via leitura de QR Code com conta que exija Senha de Transação Múltipla (STM).
Efetivação da transação através do Sistema Externo SIMTX (Endpoint /pix/automatico-autorizacoes/v1/autorizacoes)
Alteração da integração com o SIMCV para começar a gravar os dados específicos dessa transação: 
28153 - Incluir Pendência Pix (Operação realizada com sucesso ou mensagem de erro da API)</t>
  </si>
  <si>
    <t xml:space="preserve">SIGCX / Coleções / Coleções de Sprints / SIGCX - Squad 4 / Sprint 88 
</t>
  </si>
  <si>
    <t>SPRINT 88_LB04</t>
  </si>
  <si>
    <r>
      <t xml:space="preserve">Criar Pendência de Pix Automático com Leitura de QR Code - STM
</t>
    </r>
    <r>
      <rPr>
        <sz val="11"/>
        <color rgb="FFFF0000"/>
        <rFont val="Calibri"/>
        <family val="2"/>
      </rPr>
      <t>leitura de qr code pendencia e stm jornada 2</t>
    </r>
  </si>
  <si>
    <r>
      <t xml:space="preserve">Criar Pendência de Pix Automático com Leitura de QR Code - STM - Imprimir Comprovante de Pendência
</t>
    </r>
    <r>
      <rPr>
        <sz val="11"/>
        <color rgb="FFFF0000"/>
        <rFont val="Calibri"/>
        <family val="2"/>
      </rPr>
      <t>leitura de qr code pendencia e stm jornada 2</t>
    </r>
  </si>
  <si>
    <t xml:space="preserve">Incluir funcionalidade para:
Permitir autorização da Pendência do Pix Automático via leitura de QR Code com conta que exija Senha de Transação Múltipla (STM).
Efetivação da transação através do Sistema Externo SIMTX (Endpoint /assinatura-multipla/v2/contas/{id_conta}/transacoes/{nsuTransacao}/assinaturas)
Alteração da integração com o SIMCV para começar a gravar os dados específicos dessa transação: 
28154 - Autorizar Pendência Pix (Operação realizada com sucesso ou mensagem de erro da API)
</t>
  </si>
  <si>
    <r>
      <t xml:space="preserve">Transações Pendentes - Autorizar Pix Automático com Leitura de QR Code - STM
</t>
    </r>
    <r>
      <rPr>
        <sz val="11"/>
        <color rgb="FFFF0000"/>
        <rFont val="Calibri"/>
        <family val="2"/>
      </rPr>
      <t>pendencia de stm 2ª autorização</t>
    </r>
  </si>
  <si>
    <r>
      <t xml:space="preserve">Transações Pendentes - Autorizar Pix Automático com Leitura de QR Code - STM - Imprimir Comprovante
</t>
    </r>
    <r>
      <rPr>
        <sz val="11"/>
        <color rgb="FFFF0000"/>
        <rFont val="Calibri"/>
        <family val="2"/>
      </rPr>
      <t>pendencia de stm 2ª autorização</t>
    </r>
  </si>
  <si>
    <t>Incluir funcionalidade para:
Desenvolvimento da funcionalidade de impressão do comprovante de Autorização de Pix Automático com Leitura de QR Code.</t>
  </si>
  <si>
    <r>
      <t xml:space="preserve">Transações Pendentes - Detalhar Pendência do Pix Automático com Leitura de QR Code - STM
</t>
    </r>
    <r>
      <rPr>
        <sz val="11"/>
        <color rgb="FFFF0000"/>
        <rFont val="Calibri"/>
        <family val="2"/>
      </rPr>
      <t>pendencia de stm 2ª autorização</t>
    </r>
  </si>
  <si>
    <t xml:space="preserve">Incluir funcionalidade para:
Permitir detalhamento da Pendência do Pix Automático via leitura de QR Code com conta que exija Senha de Transação Múltipla (STM).
Recuperar os campos abaixo do Sistema Externo SIMTX (Endpoint /assinatura-multipla/v2/contas/{id_conta}/transacoes/{nsuTransacao})
- Informações do recebedor 
- Informações do cliente
- Informações do pagador
- Informações Adicionais
Alteração da integração com o SIMCV para começar a gravar os dados específicos dessa transação: 
28153 - Incluir Pendência Pix (Operação realizada com sucesso ou mensagem de erro da API)
</t>
  </si>
  <si>
    <r>
      <t xml:space="preserve">Transações Pendentes - Cancelar Pendência do Pix Automático com Leitura de QR Code - STM
</t>
    </r>
    <r>
      <rPr>
        <sz val="11"/>
        <color rgb="FFFF0000"/>
        <rFont val="Calibri"/>
        <family val="2"/>
      </rPr>
      <t>pendencia de stm 2ª autorização</t>
    </r>
  </si>
  <si>
    <t>E/S
RN/LP</t>
  </si>
  <si>
    <t xml:space="preserve">Incluir funcionalidade para:
Permitir cancelamento da Pendência do Pix Automático via leitura de QR Code com conta que exija Senha de Transação Múltipla (STM).
Efetivação da transação (Canclamento) através do Sistema Externo SIMTX (Endpoint /assinatura-multipla/v2/contas/{id_conta}/transacoes/{nsuTransacao})
Alteração da integração com o SIMCV para começar a gravar os dados específicos dessa transação: 
28198 - Pix - Cancelar Transação Pendente (AEM) (Operação realizada com sucesso ou mensagem de erro da API)
</t>
  </si>
  <si>
    <r>
      <t xml:space="preserve">Transações Pendentes - Cancelar Pendência do Pix Automático com Leitura de QR Code - STM - Imprimir Comprovante
</t>
    </r>
    <r>
      <rPr>
        <sz val="11"/>
        <color rgb="FFFF0000"/>
        <rFont val="Calibri"/>
        <family val="2"/>
      </rPr>
      <t>pendencia de stm 2ª autorização</t>
    </r>
  </si>
  <si>
    <t>Incluir funcionalidade para:
Desenvolvimento da funcionalidade de impressão do comprovante de Cancelamento de Pendência de Pix Automático com Leitura de QR Code.</t>
  </si>
  <si>
    <r>
      <t xml:space="preserve">Editar Autorização Ativa de Pix Automático - Criar Pendência - STM
</t>
    </r>
    <r>
      <rPr>
        <sz val="11"/>
        <color rgb="FFFF0000"/>
        <rFont val="Calibri"/>
        <family val="2"/>
      </rPr>
      <t>autorizações ativas pendencia e STM</t>
    </r>
  </si>
  <si>
    <r>
      <t xml:space="preserve">Editar Autorização Ativa de Pix Automático - Criar Pendência - STM - Imprimir Comprovante
</t>
    </r>
    <r>
      <rPr>
        <sz val="11"/>
        <color rgb="FFFF0000"/>
        <rFont val="Calibri"/>
        <family val="2"/>
      </rPr>
      <t>autorizações ativas pendencia e STM</t>
    </r>
  </si>
  <si>
    <t xml:space="preserve">Incluir funcionalidade para:
Permitir edição da Autorização Ativa do Pix Automático, com criação de pendências para demais representantes com conta que exija Senha de Transação Múltipla (STM).
Efetivação da transação através do Sistema Externo SIMTX (Endpoint /pix/automatico-autorizacoes/v1/autorizacoes/{idAutorizacao})
</t>
  </si>
  <si>
    <t>Incluir funcionalidade para:
Desenvolvimento da funcionalidade de impressão do comprovante de edição da Autorização Ativa do Pix Automático, com criação de pendência.</t>
  </si>
  <si>
    <r>
      <t xml:space="preserve">Cancelar Autorização Ativa de Pix Automático - Criar Pendência - STM
</t>
    </r>
    <r>
      <rPr>
        <sz val="11"/>
        <color rgb="FFFF0000"/>
        <rFont val="Calibri"/>
        <family val="2"/>
      </rPr>
      <t>autorizações ativas pendencia e STM</t>
    </r>
  </si>
  <si>
    <t>Incluir funcionalidade para:
Permitir cancelamento da Autorização Ativa do Pix Automático, com criação de pendências para demais representantes com conta que exija Senha de Transação Múltipla (STM).
Efetivação da transação através do Sistema Externo SIMTX (Endpoint /pix/automatico-autorizacoes/v1/autorizacoes/{idAutorizacao}/cancelar)</t>
  </si>
  <si>
    <r>
      <t xml:space="preserve">Cancelar Autorização Ativa de Pix Automático - Criar Pendência - STM - Imprimir Comprovante
</t>
    </r>
    <r>
      <rPr>
        <sz val="11"/>
        <color rgb="FFFF0000"/>
        <rFont val="Calibri"/>
        <family val="2"/>
      </rPr>
      <t>autorizações ativas pendencia e STM</t>
    </r>
  </si>
  <si>
    <t>Incluir funcionalidade para:
Desenvolvimento da funcionalidade de impressão do comprovante de Cancelamento da Autorização Ativa do Pix Automático, com criação de pendência.</t>
  </si>
  <si>
    <r>
      <t xml:space="preserve">Transações Pendentes - Autorizar Edição da Autorização Ativa do Pix Automático - STM
</t>
    </r>
    <r>
      <rPr>
        <sz val="11"/>
        <color rgb="FFFF0000"/>
        <rFont val="Calibri"/>
        <family val="2"/>
      </rPr>
      <t>pendencia de stm 2ª autorização</t>
    </r>
  </si>
  <si>
    <t xml:space="preserve">Incluir funcionalidade para:
Permitir autorização da Pendência da Edição da Autorização Ativa do Pix Automático com conta que exija Senha de Transação Múltipla (STM).
Efetivação da transação através do Sistema Externo SIMTX (Endpoint /assinatura-multipla/v2/contas/{id_conta}/transacoes/{nsuTransacao}/assinaturas)
</t>
  </si>
  <si>
    <t>Incluir funcionalidade para:
Desenvolvimento da funcionalidade de impressão do comprovante de Autorização da Edição da Autorização Ativa do Pix Automático.</t>
  </si>
  <si>
    <r>
      <t xml:space="preserve">Transações Pendentes - Autorizar Edição da Autorização Ativa do Pix Automático - STM - Imprimir Comprovante
</t>
    </r>
    <r>
      <rPr>
        <sz val="11"/>
        <color rgb="FFFF0000"/>
        <rFont val="Calibri"/>
        <family val="2"/>
      </rPr>
      <t>pendencia de stm 2ª autorização</t>
    </r>
  </si>
  <si>
    <r>
      <t xml:space="preserve">Transações Pendentes - Autorizar Pendência do Cancelamento da Autorização Ativa do Pix Automático - STM
</t>
    </r>
    <r>
      <rPr>
        <sz val="11"/>
        <color rgb="FFFF0000"/>
        <rFont val="Calibri"/>
        <family val="2"/>
      </rPr>
      <t>pendencia de stm 2ª autorização</t>
    </r>
    <r>
      <rPr>
        <sz val="11"/>
        <rFont val="Calibri"/>
        <family val="2"/>
      </rPr>
      <t xml:space="preserve">
</t>
    </r>
  </si>
  <si>
    <t xml:space="preserve">Incluir funcionalidade para:
Permitir autorização da pendência do cancelamento da Autorização Ativa do Pix Automático com conta que exija Senha de Transação Múltipla (STM).
Efetivação da transação através do Sistema Externo SIMTX (Endpoint /assinatura-multipla/v2/contas/{id_conta}/transacoes/{nsuTransacao}/assinaturas)
</t>
  </si>
  <si>
    <t>Incluir funcionalidade para:
Desenvolvimento da funcionalidade de impressão do comprovante de Autorização da Pendência de Cancelamento da Autorização Ativa do Pix Automático.</t>
  </si>
  <si>
    <r>
      <t xml:space="preserve">Transações Pendentes - Autorizar Pendência do Cancelamento da Autorização Ativa do Pix Automático - STM - Imprimir Comprovante
</t>
    </r>
    <r>
      <rPr>
        <sz val="11"/>
        <color rgb="FFFF0000"/>
        <rFont val="Calibri"/>
        <family val="2"/>
      </rPr>
      <t>pendencia de stm 2ª autorização</t>
    </r>
  </si>
  <si>
    <r>
      <t xml:space="preserve">Transações Pendentes - Detalhar Pendência do Cancelamento da Autorização Ativa do Pix Automático - STM
</t>
    </r>
    <r>
      <rPr>
        <sz val="11"/>
        <color rgb="FFFF0000"/>
        <rFont val="Calibri"/>
        <family val="2"/>
      </rPr>
      <t>pendencia de stm 2ª autorização</t>
    </r>
  </si>
  <si>
    <t xml:space="preserve">Incluir funcionalidade para:
Permitir detalhamento da pendência do cancelamento da Autorização Ativa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
Alteração da integração com o SIMCV para começar a gravar os dados específicos dessa transação: 
28153 - Incluir Pendência Pix (Operação realizada com sucesso ou mensagem de erro da API)
</t>
  </si>
  <si>
    <t>Incluir funcionalidade para:
Permitir detalhamento da pendência da edição da Autorização Ativa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
Alteração da integração com o SIMCV para começar a gravar os dados específicos dessa transação: 
28153 - Incluir Pendência Pix (Operação realizada com sucesso ou mensagem de erro da API)</t>
  </si>
  <si>
    <r>
      <t xml:space="preserve">Transações Pendentes - Detalhar Pendência da Edição da Autorização Ativa do Pix Automático - STM
</t>
    </r>
    <r>
      <rPr>
        <sz val="11"/>
        <color rgb="FFFF0000"/>
        <rFont val="Calibri"/>
        <family val="2"/>
      </rPr>
      <t>pendencia de stm 2ª autorização</t>
    </r>
  </si>
  <si>
    <r>
      <t xml:space="preserve">Transações Pendentes - Cancelar Pendência do Cancelamento da Autorização Ativa do Pix Automático - STM
</t>
    </r>
    <r>
      <rPr>
        <sz val="11"/>
        <color rgb="FFFF0000"/>
        <rFont val="Calibri"/>
        <family val="2"/>
      </rPr>
      <t>pendencia de stm 2ª autorização</t>
    </r>
  </si>
  <si>
    <t>Incluir funcionalidade para:
Permitir que seja cancelada a Pendência do Cancelamento da Autorização Ativa do Pix Automático com conta que exija Senha de Transação Múltipla (STM).
Efetivação da transação (Cancelamento) através do Sistema Externo SIMTX (Endpoint /assinatura-multipla/v2/contas/{id_conta}/transacoes/{nsuTransacao})
Alteração da integração com o SIMCV para começar a gravar os dados específicos dessa transação: 
28198 - Pix - Cancelar Transação Pendente (AEM) (Operação realizada com sucesso ou mensagem de erro da API)</t>
  </si>
  <si>
    <t>Incluir funcionalidade para:
Desenvolvimento da funcionalidade de impressão do comprovante de Cancelamento da Pendência de Cancelamento da Autorização Ativa do Pix Automático.</t>
  </si>
  <si>
    <r>
      <t xml:space="preserve">Transações Pendentes - Cancelar Pendência do Cancelamento da Autorização Ativa do Pix Automático - STM - Imprimir Comprovante
</t>
    </r>
    <r>
      <rPr>
        <sz val="11"/>
        <color rgb="FFFF0000"/>
        <rFont val="Calibri"/>
        <family val="2"/>
      </rPr>
      <t>pendencia de stm 2ª autorização</t>
    </r>
  </si>
  <si>
    <r>
      <t xml:space="preserve">Transações Pendentes - Cancelar Pendência da Edição da Autorização Ativa do Pix Automático - STM
</t>
    </r>
    <r>
      <rPr>
        <sz val="11"/>
        <color rgb="FFFF0000"/>
        <rFont val="Calibri"/>
        <family val="2"/>
      </rPr>
      <t>pendencia de stm 2ª autorização</t>
    </r>
  </si>
  <si>
    <t>Incluir funcionalidade para:
Permitir que seja cancelada a Pendência da Edição da Autorização Ativa do Pix Automático com conta que exija Senha de Transação Múltipla (STM).
Efetivação da transação (Cancelamento) através do Sistema Externo SIMTX (Endpoint /assinatura-multipla/v2/contas/{id_conta}/transacoes/{nsuTransacao})
Alteração da integração com o SIMCV para começar a gravar os dados específicos dessa transação: 
28198 - Pix - Cancelar Transação Pendente (AEM) (Operação realizada com sucesso ou mensagem de erro da API)</t>
  </si>
  <si>
    <r>
      <rPr>
        <sz val="11"/>
        <rFont val="Calibri"/>
        <family val="2"/>
      </rPr>
      <t>Transações Pendentes - Cancelar Pendência da Edição da Autorização Ativa do Pix Automático - STM Imprimir Comprovante</t>
    </r>
    <r>
      <rPr>
        <sz val="11"/>
        <color rgb="FFFF0000"/>
        <rFont val="Calibri"/>
        <family val="2"/>
      </rPr>
      <t xml:space="preserve">
pendencia de stm 2ª autorização</t>
    </r>
  </si>
  <si>
    <t>Incluir funcionalidade para:
Desenvolvimento da funcionalidade de impressão do comprovante de Cancelamento da Pendência da Edição da Autorização Ativa do Pix Automático.</t>
  </si>
  <si>
    <r>
      <t xml:space="preserve">Rejeitar Autorização Pendente de Pix Automático
</t>
    </r>
    <r>
      <rPr>
        <sz val="11"/>
        <color rgb="FFFF0000"/>
        <rFont val="Calibri"/>
        <family val="2"/>
      </rPr>
      <t>autorização pendente jornada 1</t>
    </r>
  </si>
  <si>
    <t>Alterar funcionalidade para:
Atualizar o fluxo de rejeição de Autorizações Pendentes do Pix Automático para permitir que o cliente selecione o motivo da rejeição e que esse motivo seja exibido em todas as telas do processo e também no comprovante.
Inclusão de opções de motivo de rejeição no pop-up (“Não tenho interesse no Pix Automático para este pagamento” e “Não reconheço o relacionamento com este recebedor”); exibição do motivo nas telas de confirmação e comprovante;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</si>
</sst>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sz val="11"/>
      <color rgb="FFFF0000"/>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1">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indexed="64"/>
      </left>
      <right style="thin">
        <color indexed="64"/>
      </right>
      <top/>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4">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0" fillId="26" borderId="30" xfId="0" applyFill="1" applyBorder="1" applyAlignment="1">
      <alignment horizontal="center" vertical="center"/>
    </xf>
    <xf numFmtId="0" fontId="0" fillId="26" borderId="30" xfId="0" applyFill="1" applyBorder="1" applyAlignment="1">
      <alignment horizontal="left" vertical="center" wrapText="1"/>
    </xf>
    <xf numFmtId="0" fontId="0" fillId="26" borderId="30" xfId="0" applyFill="1" applyBorder="1" applyAlignment="1">
      <alignment horizontal="left" vertical="center"/>
    </xf>
    <xf numFmtId="0" fontId="28" fillId="26" borderId="10" xfId="41" applyFont="1" applyFill="1" applyBorder="1" applyAlignment="1">
      <alignment horizontal="center" vertical="center" wrapText="1"/>
    </xf>
    <xf numFmtId="0" fontId="27" fillId="26" borderId="10" xfId="0" applyFont="1" applyFill="1" applyBorder="1" applyAlignment="1">
      <alignment horizontal="left"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xf numFmtId="0" fontId="27" fillId="26" borderId="0" xfId="0" applyFont="1" applyFill="1" applyAlignment="1">
      <alignment vertical="center" wrapText="1"/>
    </xf>
    <xf numFmtId="0" fontId="29" fillId="26" borderId="0" xfId="0" applyFont="1" applyFill="1" applyAlignment="1">
      <alignmen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40">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39"/>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27" totalsRowCount="1" headerRowDxfId="38" dataDxfId="36" headerRowBorderDxfId="37">
  <autoFilter ref="A3:R26"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totalsRowLabel="Total" dataDxfId="35" totalsRowDxfId="17"/>
    <tableColumn id="2" xr3:uid="{00000000-0010-0000-0000-000002000000}" name="Tipo de_x000a_Mudança na_x000a_Funcionalidade" dataDxfId="34" totalsRowDxfId="16"/>
    <tableColumn id="3" xr3:uid="{00000000-0010-0000-0000-000003000000}" name="Itens Afetados " dataDxfId="33" totalsRowDxfId="15"/>
    <tableColumn id="4" xr3:uid="{00000000-0010-0000-0000-000004000000}" name="Descrição da Mudança" dataDxfId="32" totalsRowDxfId="14"/>
    <tableColumn id="5" xr3:uid="{00000000-0010-0000-0000-000005000000}" name="Artefato" dataDxfId="31" totalsRowDxfId="13"/>
    <tableColumn id="6" xr3:uid="{00000000-0010-0000-0000-000006000000}" name="Localização dos Artefatos" dataDxfId="30" totalsRowDxfId="12"/>
    <tableColumn id="7" xr3:uid="{00000000-0010-0000-0000-000007000000}" name="Versão do Artefato" dataDxfId="29" totalsRowDxfId="11"/>
    <tableColumn id="8" xr3:uid="{00000000-0010-0000-0000-000008000000}" name="Tipo de Mudança no Artefato" dataDxfId="28" totalsRowDxfId="10"/>
    <tableColumn id="9" xr3:uid="{00000000-0010-0000-0000-000009000000}" name="Tabela Impactada" dataDxfId="27" totalsRowDxfId="9"/>
    <tableColumn id="10" xr3:uid="{00000000-0010-0000-0000-00000A000000}" name="Tipo de Impacto" dataDxfId="26" totalsRowDxfId="8"/>
    <tableColumn id="17" xr3:uid="{00000000-0010-0000-0000-000011000000}" name="Descrição da Mudança na Tabela" dataDxfId="25" totalsRowDxfId="7"/>
    <tableColumn id="13" xr3:uid="{00000000-0010-0000-0000-00000D000000}" name="Coluna1" dataDxfId="24" totalsRowDxfId="6"/>
    <tableColumn id="14" xr3:uid="{00000000-0010-0000-0000-00000E000000}" name=" " dataDxfId="23" totalsRowDxfId="5"/>
    <tableColumn id="18" xr3:uid="{00000000-0010-0000-0000-000012000000}" name="  " dataDxfId="22" totalsRowDxfId="4"/>
    <tableColumn id="15" xr3:uid="{00000000-0010-0000-0000-00000F000000}" name="   " dataDxfId="21" totalsRowDxfId="3"/>
    <tableColumn id="11" xr3:uid="{00000000-0010-0000-0000-00000B000000}" name="    " dataDxfId="20" totalsRowDxfId="2"/>
    <tableColumn id="12" xr3:uid="{00000000-0010-0000-0000-00000C000000}" name="     " dataDxfId="19" totalsRowDxfId="1"/>
    <tableColumn id="16" xr3:uid="{00000000-0010-0000-0000-000010000000}" name="      " totalsRowFunction="count" dataDxfId="18" totalsRow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B11" sqref="B11"/>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x14ac:dyDescent="0.2">
      <c r="B2" s="50"/>
      <c r="C2" s="51"/>
      <c r="D2" s="62" t="s">
        <v>0</v>
      </c>
      <c r="E2" s="63"/>
      <c r="F2" s="4" t="s">
        <v>1</v>
      </c>
    </row>
    <row r="3" spans="2:9" ht="24.75" customHeight="1" x14ac:dyDescent="0.2">
      <c r="B3" s="52"/>
      <c r="C3" s="53"/>
      <c r="D3" s="64"/>
      <c r="E3" s="65"/>
      <c r="F3" s="5">
        <f ca="1">NOW()</f>
        <v>45876.67378553241</v>
      </c>
    </row>
    <row r="6" spans="2:9" s="3" customFormat="1" ht="18" customHeight="1" x14ac:dyDescent="0.2">
      <c r="B6" s="11" t="s">
        <v>2</v>
      </c>
      <c r="C6" s="57" t="s">
        <v>3</v>
      </c>
      <c r="D6" s="58"/>
      <c r="E6" s="11" t="s">
        <v>4</v>
      </c>
      <c r="F6" s="12"/>
    </row>
    <row r="7" spans="2:9" s="3" customFormat="1" ht="18" customHeight="1" x14ac:dyDescent="0.2">
      <c r="B7" s="11" t="s">
        <v>5</v>
      </c>
      <c r="C7" s="57" t="s">
        <v>60</v>
      </c>
      <c r="D7" s="58"/>
      <c r="E7" s="11" t="s">
        <v>6</v>
      </c>
      <c r="F7" s="12"/>
    </row>
    <row r="8" spans="2:9" ht="19.5" customHeight="1" x14ac:dyDescent="0.2"/>
    <row r="9" spans="2:9" ht="15" x14ac:dyDescent="0.25">
      <c r="B9" s="6" t="s">
        <v>7</v>
      </c>
    </row>
    <row r="10" spans="2:9" s="3" customFormat="1" ht="17.25" customHeight="1" x14ac:dyDescent="0.2">
      <c r="B10" s="13" t="s">
        <v>8</v>
      </c>
      <c r="C10" s="13" t="s">
        <v>9</v>
      </c>
      <c r="D10" s="66" t="s">
        <v>10</v>
      </c>
      <c r="E10" s="66"/>
      <c r="F10" s="13" t="s">
        <v>11</v>
      </c>
    </row>
    <row r="11" spans="2:9" s="3" customFormat="1" ht="30" customHeight="1" x14ac:dyDescent="0.2">
      <c r="B11" s="38">
        <v>45838</v>
      </c>
      <c r="C11" s="13" t="s">
        <v>12</v>
      </c>
      <c r="D11" s="48" t="s">
        <v>13</v>
      </c>
      <c r="E11" s="49"/>
      <c r="F11" s="13" t="s">
        <v>61</v>
      </c>
      <c r="I11" s="39"/>
    </row>
    <row r="12" spans="2:9" s="3" customFormat="1" ht="17.25" customHeight="1" x14ac:dyDescent="0.2">
      <c r="B12" s="13"/>
      <c r="C12" s="13"/>
      <c r="D12" s="67"/>
      <c r="E12" s="49"/>
      <c r="F12" s="13"/>
    </row>
    <row r="13" spans="2:9" s="3" customFormat="1" ht="17.25" customHeight="1" x14ac:dyDescent="0.2">
      <c r="B13" s="13"/>
      <c r="C13" s="13"/>
      <c r="D13" s="67"/>
      <c r="E13" s="49"/>
      <c r="F13" s="13"/>
    </row>
    <row r="14" spans="2:9" x14ac:dyDescent="0.2">
      <c r="B14" s="7"/>
      <c r="C14" s="7"/>
      <c r="D14" s="10"/>
      <c r="E14" s="10"/>
      <c r="F14" s="7"/>
    </row>
    <row r="15" spans="2:9" ht="15" x14ac:dyDescent="0.25">
      <c r="B15" s="6" t="s">
        <v>14</v>
      </c>
    </row>
    <row r="16" spans="2:9" ht="49.15" customHeight="1" x14ac:dyDescent="0.2">
      <c r="B16" s="54" t="s">
        <v>15</v>
      </c>
      <c r="C16" s="55"/>
      <c r="D16" s="55"/>
      <c r="E16" s="55"/>
      <c r="F16" s="56"/>
    </row>
    <row r="17" spans="2:6" x14ac:dyDescent="0.2">
      <c r="B17" s="7"/>
      <c r="C17" s="7"/>
      <c r="D17" s="10"/>
      <c r="E17" s="10"/>
      <c r="F17" s="7"/>
    </row>
    <row r="18" spans="2:6" x14ac:dyDescent="0.2">
      <c r="B18" s="7"/>
      <c r="C18" s="7"/>
      <c r="D18" s="7"/>
      <c r="E18" s="7"/>
      <c r="F18" s="7"/>
    </row>
    <row r="19" spans="2:6" ht="15" x14ac:dyDescent="0.25">
      <c r="B19" s="6" t="s">
        <v>16</v>
      </c>
    </row>
    <row r="20" spans="2:6" ht="182.25" customHeight="1" x14ac:dyDescent="0.2">
      <c r="B20" s="59"/>
      <c r="C20" s="60"/>
      <c r="D20" s="60"/>
      <c r="E20" s="60"/>
      <c r="F20" s="61"/>
    </row>
    <row r="21" spans="2:6" x14ac:dyDescent="0.2">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27"/>
  <sheetViews>
    <sheetView showGridLines="0" tabSelected="1" topLeftCell="A26" zoomScale="110" zoomScaleNormal="110" workbookViewId="0">
      <selection activeCell="A26" sqref="A26"/>
    </sheetView>
  </sheetViews>
  <sheetFormatPr defaultRowHeight="12.75" x14ac:dyDescent="0.2"/>
  <cols>
    <col min="1" max="1" width="76.85546875" customWidth="1"/>
    <col min="2" max="2" width="17.28515625" style="9" customWidth="1"/>
    <col min="3" max="3" width="16.7109375" style="1" customWidth="1"/>
    <col min="4" max="4" width="65.710937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x14ac:dyDescent="0.2">
      <c r="B1" s="71" t="s">
        <v>18</v>
      </c>
      <c r="C1" s="71"/>
      <c r="D1" s="71"/>
      <c r="E1" s="71"/>
      <c r="F1" s="71"/>
      <c r="G1" s="71"/>
      <c r="H1" s="71"/>
    </row>
    <row r="2" spans="1:18" x14ac:dyDescent="0.2">
      <c r="B2" s="71"/>
      <c r="C2" s="71"/>
      <c r="D2" s="71"/>
      <c r="E2" s="71"/>
      <c r="F2" s="71"/>
      <c r="G2" s="71"/>
      <c r="H2" s="71"/>
      <c r="I2" s="72" t="s">
        <v>19</v>
      </c>
      <c r="J2" s="72"/>
      <c r="K2" s="73"/>
      <c r="L2" s="68" t="s">
        <v>20</v>
      </c>
      <c r="M2" s="69"/>
      <c r="N2" s="69"/>
      <c r="O2" s="69"/>
      <c r="P2" s="70"/>
      <c r="Q2" s="70"/>
      <c r="R2" s="70"/>
    </row>
    <row r="3" spans="1:18" ht="44.25" x14ac:dyDescent="0.2">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1" customFormat="1" ht="313.5" customHeight="1" x14ac:dyDescent="0.25">
      <c r="A4" s="82" t="s">
        <v>76</v>
      </c>
      <c r="B4" s="40" t="s">
        <v>62</v>
      </c>
      <c r="C4" s="42" t="s">
        <v>72</v>
      </c>
      <c r="D4" s="82" t="s">
        <v>73</v>
      </c>
      <c r="E4" s="1">
        <v>22712226</v>
      </c>
      <c r="F4" s="46" t="s">
        <v>74</v>
      </c>
      <c r="G4" s="40" t="s">
        <v>75</v>
      </c>
      <c r="H4" s="40" t="s">
        <v>39</v>
      </c>
      <c r="I4" s="40" t="s">
        <v>39</v>
      </c>
      <c r="J4" s="40" t="s">
        <v>39</v>
      </c>
      <c r="K4" s="40" t="s">
        <v>39</v>
      </c>
      <c r="L4" s="40"/>
      <c r="M4" s="40"/>
      <c r="N4" s="40"/>
      <c r="O4" s="40"/>
      <c r="P4" s="40"/>
      <c r="Q4" s="40"/>
      <c r="R4" s="40"/>
    </row>
    <row r="5" spans="1:18" s="41" customFormat="1" ht="313.5" customHeight="1" x14ac:dyDescent="0.25">
      <c r="A5" s="82" t="s">
        <v>77</v>
      </c>
      <c r="B5" s="40" t="s">
        <v>62</v>
      </c>
      <c r="C5" s="42" t="s">
        <v>72</v>
      </c>
      <c r="D5" s="47" t="s">
        <v>69</v>
      </c>
      <c r="E5" s="1">
        <v>22712226</v>
      </c>
      <c r="F5" s="46" t="s">
        <v>74</v>
      </c>
      <c r="G5" s="40" t="s">
        <v>75</v>
      </c>
      <c r="H5" s="40" t="s">
        <v>39</v>
      </c>
      <c r="I5" s="40" t="s">
        <v>39</v>
      </c>
      <c r="J5" s="40" t="s">
        <v>39</v>
      </c>
      <c r="K5" s="40" t="s">
        <v>39</v>
      </c>
      <c r="L5" s="40"/>
      <c r="M5" s="40"/>
      <c r="N5" s="40"/>
      <c r="O5" s="40"/>
      <c r="P5" s="40"/>
      <c r="Q5" s="40"/>
      <c r="R5" s="40"/>
    </row>
    <row r="6" spans="1:18" s="41" customFormat="1" ht="313.5" customHeight="1" x14ac:dyDescent="0.25">
      <c r="A6" s="82" t="s">
        <v>79</v>
      </c>
      <c r="B6" s="40" t="s">
        <v>62</v>
      </c>
      <c r="C6" s="42" t="s">
        <v>72</v>
      </c>
      <c r="D6" s="82" t="s">
        <v>78</v>
      </c>
      <c r="E6" s="1">
        <v>22712226</v>
      </c>
      <c r="F6" s="46" t="s">
        <v>74</v>
      </c>
      <c r="G6" s="40" t="s">
        <v>75</v>
      </c>
      <c r="H6" s="40" t="s">
        <v>39</v>
      </c>
      <c r="I6" s="40" t="s">
        <v>39</v>
      </c>
      <c r="J6" s="40" t="s">
        <v>39</v>
      </c>
      <c r="K6" s="40" t="s">
        <v>39</v>
      </c>
      <c r="L6" s="40"/>
      <c r="M6" s="40"/>
      <c r="N6" s="40"/>
      <c r="O6" s="40"/>
      <c r="P6" s="40"/>
      <c r="Q6" s="40"/>
      <c r="R6" s="40"/>
    </row>
    <row r="7" spans="1:18" s="41" customFormat="1" ht="313.5" customHeight="1" x14ac:dyDescent="0.25">
      <c r="A7" s="82" t="s">
        <v>80</v>
      </c>
      <c r="B7" s="40" t="s">
        <v>62</v>
      </c>
      <c r="C7" s="42" t="s">
        <v>72</v>
      </c>
      <c r="D7" s="47" t="s">
        <v>81</v>
      </c>
      <c r="E7" s="1">
        <v>22712226</v>
      </c>
      <c r="F7" s="46" t="s">
        <v>74</v>
      </c>
      <c r="G7" s="40" t="s">
        <v>75</v>
      </c>
      <c r="H7" s="40" t="s">
        <v>39</v>
      </c>
      <c r="I7" s="40" t="s">
        <v>39</v>
      </c>
      <c r="J7" s="40" t="s">
        <v>39</v>
      </c>
      <c r="K7" s="40" t="s">
        <v>39</v>
      </c>
      <c r="L7" s="40"/>
      <c r="M7" s="40"/>
      <c r="N7" s="40"/>
      <c r="O7" s="40"/>
      <c r="P7" s="40"/>
      <c r="Q7" s="40"/>
      <c r="R7" s="40"/>
    </row>
    <row r="8" spans="1:18" s="41" customFormat="1" ht="313.5" customHeight="1" x14ac:dyDescent="0.25">
      <c r="A8" s="82" t="s">
        <v>82</v>
      </c>
      <c r="B8" s="40" t="s">
        <v>62</v>
      </c>
      <c r="C8" s="42" t="s">
        <v>64</v>
      </c>
      <c r="D8" s="82" t="s">
        <v>83</v>
      </c>
      <c r="E8" s="1">
        <v>22712226</v>
      </c>
      <c r="F8" s="46" t="s">
        <v>74</v>
      </c>
      <c r="G8" s="40" t="s">
        <v>75</v>
      </c>
      <c r="H8" s="40" t="s">
        <v>39</v>
      </c>
      <c r="I8" s="40" t="s">
        <v>65</v>
      </c>
      <c r="J8" s="40" t="s">
        <v>62</v>
      </c>
      <c r="K8" s="42" t="s">
        <v>66</v>
      </c>
      <c r="L8" s="40"/>
      <c r="M8" s="40"/>
      <c r="N8" s="40"/>
      <c r="O8" s="40"/>
      <c r="P8" s="40"/>
      <c r="Q8" s="40"/>
      <c r="R8" s="40"/>
    </row>
    <row r="9" spans="1:18" s="41" customFormat="1" ht="313.5" customHeight="1" x14ac:dyDescent="0.25">
      <c r="A9" s="82" t="s">
        <v>84</v>
      </c>
      <c r="B9" s="40" t="s">
        <v>62</v>
      </c>
      <c r="C9" s="42" t="s">
        <v>85</v>
      </c>
      <c r="D9" s="82" t="s">
        <v>86</v>
      </c>
      <c r="E9" s="1">
        <v>22712226</v>
      </c>
      <c r="F9" s="46" t="s">
        <v>74</v>
      </c>
      <c r="G9" s="40" t="s">
        <v>75</v>
      </c>
      <c r="H9" s="40" t="s">
        <v>39</v>
      </c>
      <c r="I9" s="40" t="s">
        <v>39</v>
      </c>
      <c r="J9" s="40" t="s">
        <v>39</v>
      </c>
      <c r="K9" s="40" t="s">
        <v>39</v>
      </c>
      <c r="L9" s="40"/>
      <c r="M9" s="40"/>
      <c r="N9" s="40"/>
      <c r="O9" s="40"/>
      <c r="P9" s="40"/>
      <c r="Q9" s="40"/>
      <c r="R9" s="40"/>
    </row>
    <row r="10" spans="1:18" s="41" customFormat="1" ht="313.5" customHeight="1" x14ac:dyDescent="0.25">
      <c r="A10" s="82" t="s">
        <v>87</v>
      </c>
      <c r="B10" s="40" t="s">
        <v>62</v>
      </c>
      <c r="C10" s="42" t="s">
        <v>72</v>
      </c>
      <c r="D10" s="47" t="s">
        <v>88</v>
      </c>
      <c r="E10" s="1">
        <v>22712226</v>
      </c>
      <c r="F10" s="46" t="s">
        <v>74</v>
      </c>
      <c r="G10" s="40" t="s">
        <v>75</v>
      </c>
      <c r="H10" s="40" t="s">
        <v>39</v>
      </c>
      <c r="I10" s="40" t="s">
        <v>39</v>
      </c>
      <c r="J10" s="40" t="s">
        <v>39</v>
      </c>
      <c r="K10" s="40" t="s">
        <v>39</v>
      </c>
      <c r="L10" s="40"/>
      <c r="M10" s="40"/>
      <c r="N10" s="40"/>
      <c r="O10" s="40"/>
      <c r="P10" s="40"/>
      <c r="Q10" s="40"/>
      <c r="R10" s="40"/>
    </row>
    <row r="11" spans="1:18" s="41" customFormat="1" ht="313.5" customHeight="1" x14ac:dyDescent="0.25">
      <c r="A11" s="82" t="s">
        <v>89</v>
      </c>
      <c r="B11" s="40" t="s">
        <v>62</v>
      </c>
      <c r="C11" s="42" t="s">
        <v>72</v>
      </c>
      <c r="D11" s="47" t="s">
        <v>91</v>
      </c>
      <c r="E11" s="1">
        <v>22713021</v>
      </c>
      <c r="F11" s="46" t="s">
        <v>74</v>
      </c>
      <c r="G11" s="40" t="s">
        <v>75</v>
      </c>
      <c r="H11" s="40" t="s">
        <v>39</v>
      </c>
      <c r="I11" s="40" t="s">
        <v>39</v>
      </c>
      <c r="J11" s="40" t="s">
        <v>39</v>
      </c>
      <c r="K11" s="40" t="s">
        <v>39</v>
      </c>
      <c r="L11" s="40"/>
      <c r="M11" s="40"/>
      <c r="N11" s="40"/>
      <c r="O11" s="40"/>
      <c r="P11" s="40"/>
      <c r="Q11" s="40"/>
      <c r="R11" s="40"/>
    </row>
    <row r="12" spans="1:18" s="41" customFormat="1" ht="313.5" customHeight="1" x14ac:dyDescent="0.25">
      <c r="A12" s="82" t="s">
        <v>90</v>
      </c>
      <c r="B12" s="40" t="s">
        <v>62</v>
      </c>
      <c r="C12" s="42" t="s">
        <v>72</v>
      </c>
      <c r="D12" s="47" t="s">
        <v>92</v>
      </c>
      <c r="E12" s="1">
        <v>22712226</v>
      </c>
      <c r="F12" s="46" t="s">
        <v>74</v>
      </c>
      <c r="G12" s="40" t="s">
        <v>75</v>
      </c>
      <c r="H12" s="40" t="s">
        <v>39</v>
      </c>
      <c r="I12" s="40" t="s">
        <v>39</v>
      </c>
      <c r="J12" s="40" t="s">
        <v>39</v>
      </c>
      <c r="K12" s="40" t="s">
        <v>39</v>
      </c>
      <c r="L12" s="40"/>
      <c r="M12" s="40"/>
      <c r="N12" s="40"/>
      <c r="O12" s="40"/>
      <c r="P12" s="40"/>
      <c r="Q12" s="40"/>
      <c r="R12" s="40"/>
    </row>
    <row r="13" spans="1:18" s="41" customFormat="1" ht="313.5" customHeight="1" x14ac:dyDescent="0.25">
      <c r="A13" s="82" t="s">
        <v>93</v>
      </c>
      <c r="B13" s="40" t="s">
        <v>62</v>
      </c>
      <c r="C13" s="42" t="s">
        <v>72</v>
      </c>
      <c r="D13" s="82" t="s">
        <v>94</v>
      </c>
      <c r="E13" s="1">
        <v>22713021</v>
      </c>
      <c r="F13" s="46" t="s">
        <v>74</v>
      </c>
      <c r="G13" s="40" t="s">
        <v>75</v>
      </c>
      <c r="H13" s="40" t="s">
        <v>39</v>
      </c>
      <c r="I13" s="40" t="s">
        <v>39</v>
      </c>
      <c r="J13" s="40" t="s">
        <v>39</v>
      </c>
      <c r="K13" s="40" t="s">
        <v>39</v>
      </c>
      <c r="L13" s="40"/>
      <c r="M13" s="40"/>
      <c r="N13" s="40"/>
      <c r="O13" s="40"/>
      <c r="P13" s="40"/>
      <c r="Q13" s="40"/>
      <c r="R13" s="40"/>
    </row>
    <row r="14" spans="1:18" s="41" customFormat="1" ht="313.5" customHeight="1" x14ac:dyDescent="0.25">
      <c r="A14" s="82" t="s">
        <v>95</v>
      </c>
      <c r="B14" s="40" t="s">
        <v>62</v>
      </c>
      <c r="C14" s="42" t="s">
        <v>72</v>
      </c>
      <c r="D14" s="47" t="s">
        <v>96</v>
      </c>
      <c r="E14" s="1">
        <v>22712226</v>
      </c>
      <c r="F14" s="46" t="s">
        <v>74</v>
      </c>
      <c r="G14" s="40" t="s">
        <v>75</v>
      </c>
      <c r="H14" s="40" t="s">
        <v>39</v>
      </c>
      <c r="I14" s="40" t="s">
        <v>39</v>
      </c>
      <c r="J14" s="40" t="s">
        <v>39</v>
      </c>
      <c r="K14" s="40" t="s">
        <v>39</v>
      </c>
      <c r="L14" s="40"/>
      <c r="M14" s="40"/>
      <c r="N14" s="40"/>
      <c r="O14" s="40"/>
      <c r="P14" s="40"/>
      <c r="Q14" s="40"/>
      <c r="R14" s="40"/>
    </row>
    <row r="15" spans="1:18" s="41" customFormat="1" ht="313.5" customHeight="1" x14ac:dyDescent="0.25">
      <c r="A15" s="82" t="s">
        <v>97</v>
      </c>
      <c r="B15" s="40" t="s">
        <v>62</v>
      </c>
      <c r="C15" s="42" t="s">
        <v>64</v>
      </c>
      <c r="D15" s="82" t="s">
        <v>98</v>
      </c>
      <c r="E15" s="1">
        <v>22713021</v>
      </c>
      <c r="F15" s="46" t="s">
        <v>74</v>
      </c>
      <c r="G15" s="40" t="s">
        <v>75</v>
      </c>
      <c r="H15" s="40" t="s">
        <v>39</v>
      </c>
      <c r="I15" s="40" t="s">
        <v>39</v>
      </c>
      <c r="J15" s="40" t="s">
        <v>39</v>
      </c>
      <c r="K15" s="40" t="s">
        <v>39</v>
      </c>
      <c r="L15" s="40"/>
      <c r="M15" s="40"/>
      <c r="N15" s="40"/>
      <c r="O15" s="40"/>
      <c r="P15" s="40"/>
      <c r="Q15" s="40"/>
      <c r="R15" s="40"/>
    </row>
    <row r="16" spans="1:18" s="41" customFormat="1" ht="313.5" customHeight="1" x14ac:dyDescent="0.25">
      <c r="A16" s="82" t="s">
        <v>100</v>
      </c>
      <c r="B16" s="40" t="s">
        <v>62</v>
      </c>
      <c r="C16" s="42" t="s">
        <v>72</v>
      </c>
      <c r="D16" s="47" t="s">
        <v>99</v>
      </c>
      <c r="E16" s="1">
        <v>22712226</v>
      </c>
      <c r="F16" s="46" t="s">
        <v>74</v>
      </c>
      <c r="G16" s="40" t="s">
        <v>75</v>
      </c>
      <c r="H16" s="40" t="s">
        <v>39</v>
      </c>
      <c r="I16" s="40" t="s">
        <v>39</v>
      </c>
      <c r="J16" s="40" t="s">
        <v>39</v>
      </c>
      <c r="K16" s="40" t="s">
        <v>39</v>
      </c>
      <c r="L16" s="40"/>
      <c r="M16" s="40"/>
      <c r="N16" s="40"/>
      <c r="O16" s="40"/>
      <c r="P16" s="40"/>
      <c r="Q16" s="40"/>
      <c r="R16" s="40"/>
    </row>
    <row r="17" spans="1:18" s="41" customFormat="1" ht="313.5" customHeight="1" x14ac:dyDescent="0.25">
      <c r="A17" s="82" t="s">
        <v>101</v>
      </c>
      <c r="B17" s="40" t="s">
        <v>62</v>
      </c>
      <c r="C17" s="42" t="s">
        <v>72</v>
      </c>
      <c r="D17" s="82" t="s">
        <v>102</v>
      </c>
      <c r="E17" s="1">
        <v>22713021</v>
      </c>
      <c r="F17" s="46" t="s">
        <v>74</v>
      </c>
      <c r="G17" s="40" t="s">
        <v>75</v>
      </c>
      <c r="H17" s="40" t="s">
        <v>39</v>
      </c>
      <c r="I17" s="40" t="s">
        <v>39</v>
      </c>
      <c r="J17" s="40" t="s">
        <v>39</v>
      </c>
      <c r="K17" s="40" t="s">
        <v>39</v>
      </c>
      <c r="L17" s="40"/>
      <c r="M17" s="40"/>
      <c r="N17" s="40"/>
      <c r="O17" s="40"/>
      <c r="P17" s="40"/>
      <c r="Q17" s="40"/>
      <c r="R17" s="40"/>
    </row>
    <row r="18" spans="1:18" s="41" customFormat="1" ht="313.5" customHeight="1" x14ac:dyDescent="0.25">
      <c r="A18" s="82" t="s">
        <v>104</v>
      </c>
      <c r="B18" s="40" t="s">
        <v>62</v>
      </c>
      <c r="C18" s="42" t="s">
        <v>72</v>
      </c>
      <c r="D18" s="47" t="s">
        <v>103</v>
      </c>
      <c r="E18" s="1">
        <v>22712226</v>
      </c>
      <c r="F18" s="46" t="s">
        <v>74</v>
      </c>
      <c r="G18" s="40" t="s">
        <v>75</v>
      </c>
      <c r="H18" s="40" t="s">
        <v>39</v>
      </c>
      <c r="I18" s="40" t="s">
        <v>39</v>
      </c>
      <c r="J18" s="40" t="s">
        <v>39</v>
      </c>
      <c r="K18" s="40" t="s">
        <v>39</v>
      </c>
      <c r="L18" s="40"/>
      <c r="M18" s="40"/>
      <c r="N18" s="40"/>
      <c r="O18" s="40"/>
      <c r="P18" s="40"/>
      <c r="Q18" s="40"/>
      <c r="R18" s="40"/>
    </row>
    <row r="19" spans="1:18" s="41" customFormat="1" ht="313.5" customHeight="1" x14ac:dyDescent="0.25">
      <c r="A19" s="82" t="s">
        <v>105</v>
      </c>
      <c r="B19" s="40" t="s">
        <v>62</v>
      </c>
      <c r="C19" s="42" t="s">
        <v>64</v>
      </c>
      <c r="D19" s="82" t="s">
        <v>106</v>
      </c>
      <c r="E19" s="1">
        <v>22713021</v>
      </c>
      <c r="F19" s="46" t="s">
        <v>74</v>
      </c>
      <c r="G19" s="40" t="s">
        <v>75</v>
      </c>
      <c r="H19" s="40" t="s">
        <v>39</v>
      </c>
      <c r="I19" s="40" t="s">
        <v>65</v>
      </c>
      <c r="J19" s="40" t="s">
        <v>62</v>
      </c>
      <c r="K19" s="42" t="s">
        <v>66</v>
      </c>
      <c r="L19" s="40"/>
      <c r="M19" s="40"/>
      <c r="N19" s="40"/>
      <c r="O19" s="40"/>
      <c r="P19" s="40"/>
      <c r="Q19" s="40"/>
      <c r="R19" s="40"/>
    </row>
    <row r="20" spans="1:18" s="41" customFormat="1" ht="313.5" customHeight="1" x14ac:dyDescent="0.25">
      <c r="A20" s="82" t="s">
        <v>108</v>
      </c>
      <c r="B20" s="40" t="s">
        <v>62</v>
      </c>
      <c r="C20" s="42" t="s">
        <v>64</v>
      </c>
      <c r="D20" s="82" t="s">
        <v>107</v>
      </c>
      <c r="E20" s="1">
        <v>22713021</v>
      </c>
      <c r="F20" s="46" t="s">
        <v>74</v>
      </c>
      <c r="G20" s="40" t="s">
        <v>75</v>
      </c>
      <c r="H20" s="40" t="s">
        <v>39</v>
      </c>
      <c r="I20" s="40" t="s">
        <v>65</v>
      </c>
      <c r="J20" s="40" t="s">
        <v>62</v>
      </c>
      <c r="K20" s="42" t="s">
        <v>66</v>
      </c>
      <c r="L20" s="40"/>
      <c r="M20" s="40"/>
      <c r="N20" s="40"/>
      <c r="O20" s="40"/>
      <c r="P20" s="40"/>
      <c r="Q20" s="40"/>
      <c r="R20" s="40"/>
    </row>
    <row r="21" spans="1:18" s="41" customFormat="1" ht="313.5" customHeight="1" x14ac:dyDescent="0.25">
      <c r="A21" s="82" t="s">
        <v>109</v>
      </c>
      <c r="B21" s="40" t="s">
        <v>62</v>
      </c>
      <c r="C21" s="42" t="s">
        <v>72</v>
      </c>
      <c r="D21" s="82" t="s">
        <v>110</v>
      </c>
      <c r="E21" s="1">
        <v>22713021</v>
      </c>
      <c r="F21" s="46" t="s">
        <v>74</v>
      </c>
      <c r="G21" s="40" t="s">
        <v>75</v>
      </c>
      <c r="H21" s="40" t="s">
        <v>39</v>
      </c>
      <c r="I21" s="40" t="s">
        <v>39</v>
      </c>
      <c r="J21" s="40" t="s">
        <v>39</v>
      </c>
      <c r="K21" s="40" t="s">
        <v>39</v>
      </c>
      <c r="L21" s="40"/>
      <c r="M21" s="40"/>
      <c r="N21" s="40"/>
      <c r="O21" s="40"/>
      <c r="P21" s="40"/>
      <c r="Q21" s="40"/>
      <c r="R21" s="40"/>
    </row>
    <row r="22" spans="1:18" s="41" customFormat="1" ht="313.5" customHeight="1" x14ac:dyDescent="0.25">
      <c r="A22" s="82" t="s">
        <v>112</v>
      </c>
      <c r="B22" s="40" t="s">
        <v>62</v>
      </c>
      <c r="C22" s="42" t="s">
        <v>72</v>
      </c>
      <c r="D22" s="47" t="s">
        <v>111</v>
      </c>
      <c r="E22" s="1">
        <v>22712226</v>
      </c>
      <c r="F22" s="46" t="s">
        <v>74</v>
      </c>
      <c r="G22" s="40" t="s">
        <v>75</v>
      </c>
      <c r="H22" s="40" t="s">
        <v>39</v>
      </c>
      <c r="I22" s="40" t="s">
        <v>39</v>
      </c>
      <c r="J22" s="40" t="s">
        <v>39</v>
      </c>
      <c r="K22" s="40" t="s">
        <v>39</v>
      </c>
      <c r="L22" s="40"/>
      <c r="M22" s="40"/>
      <c r="N22" s="40"/>
      <c r="O22" s="40"/>
      <c r="P22" s="40"/>
      <c r="Q22" s="40"/>
      <c r="R22" s="40"/>
    </row>
    <row r="23" spans="1:18" s="41" customFormat="1" ht="313.5" customHeight="1" x14ac:dyDescent="0.25">
      <c r="A23" s="82" t="s">
        <v>113</v>
      </c>
      <c r="B23" s="40" t="s">
        <v>62</v>
      </c>
      <c r="C23" s="42" t="s">
        <v>72</v>
      </c>
      <c r="D23" s="82" t="s">
        <v>114</v>
      </c>
      <c r="E23" s="1">
        <v>22713021</v>
      </c>
      <c r="F23" s="46" t="s">
        <v>74</v>
      </c>
      <c r="G23" s="40" t="s">
        <v>75</v>
      </c>
      <c r="H23" s="40" t="s">
        <v>39</v>
      </c>
      <c r="I23" s="40" t="s">
        <v>39</v>
      </c>
      <c r="J23" s="40" t="s">
        <v>39</v>
      </c>
      <c r="K23" s="40" t="s">
        <v>39</v>
      </c>
      <c r="L23" s="40"/>
      <c r="M23" s="40"/>
      <c r="N23" s="40"/>
      <c r="O23" s="40"/>
      <c r="P23" s="40"/>
      <c r="Q23" s="40"/>
      <c r="R23" s="40"/>
    </row>
    <row r="24" spans="1:18" s="41" customFormat="1" ht="313.5" customHeight="1" x14ac:dyDescent="0.25">
      <c r="A24" s="83" t="s">
        <v>115</v>
      </c>
      <c r="B24" s="40" t="s">
        <v>62</v>
      </c>
      <c r="C24" s="42" t="s">
        <v>72</v>
      </c>
      <c r="D24" s="47" t="s">
        <v>116</v>
      </c>
      <c r="E24" s="1">
        <v>22712226</v>
      </c>
      <c r="F24" s="46" t="s">
        <v>74</v>
      </c>
      <c r="G24" s="40" t="s">
        <v>75</v>
      </c>
      <c r="H24" s="40" t="s">
        <v>39</v>
      </c>
      <c r="I24" s="40" t="s">
        <v>39</v>
      </c>
      <c r="J24" s="40" t="s">
        <v>39</v>
      </c>
      <c r="K24" s="40" t="s">
        <v>39</v>
      </c>
      <c r="L24" s="40"/>
      <c r="M24" s="40"/>
      <c r="N24" s="40"/>
      <c r="O24" s="40"/>
      <c r="P24" s="40"/>
      <c r="Q24" s="40"/>
      <c r="R24" s="40"/>
    </row>
    <row r="25" spans="1:18" s="41" customFormat="1" ht="313.5" customHeight="1" x14ac:dyDescent="0.25">
      <c r="A25" s="47" t="s">
        <v>68</v>
      </c>
      <c r="B25" s="40" t="s">
        <v>63</v>
      </c>
      <c r="C25" s="42" t="s">
        <v>70</v>
      </c>
      <c r="D25" s="82" t="s">
        <v>71</v>
      </c>
      <c r="E25" s="1">
        <v>23298839</v>
      </c>
      <c r="F25" s="46" t="s">
        <v>74</v>
      </c>
      <c r="G25" s="40" t="s">
        <v>75</v>
      </c>
      <c r="H25" s="40" t="s">
        <v>39</v>
      </c>
      <c r="I25" s="40" t="s">
        <v>39</v>
      </c>
      <c r="J25" s="40" t="s">
        <v>39</v>
      </c>
      <c r="K25" s="40" t="s">
        <v>39</v>
      </c>
      <c r="L25" s="40"/>
      <c r="M25" s="40"/>
      <c r="N25" s="40"/>
      <c r="O25" s="40"/>
      <c r="P25" s="40"/>
      <c r="Q25" s="40"/>
      <c r="R25" s="40"/>
    </row>
    <row r="26" spans="1:18" s="41" customFormat="1" ht="355.15" customHeight="1" x14ac:dyDescent="0.25">
      <c r="A26" s="47" t="s">
        <v>117</v>
      </c>
      <c r="B26" s="40" t="s">
        <v>63</v>
      </c>
      <c r="C26" s="42" t="s">
        <v>70</v>
      </c>
      <c r="D26" s="82" t="s">
        <v>118</v>
      </c>
      <c r="E26" s="1">
        <v>23298523</v>
      </c>
      <c r="F26" s="46" t="s">
        <v>74</v>
      </c>
      <c r="G26" s="40" t="s">
        <v>75</v>
      </c>
      <c r="H26" s="40" t="s">
        <v>39</v>
      </c>
      <c r="I26" s="40" t="s">
        <v>39</v>
      </c>
      <c r="J26" s="40" t="s">
        <v>39</v>
      </c>
      <c r="K26" s="40" t="s">
        <v>39</v>
      </c>
      <c r="L26" s="40"/>
      <c r="M26" s="40"/>
      <c r="N26" s="40"/>
      <c r="O26" s="40"/>
      <c r="P26" s="40"/>
      <c r="Q26" s="40"/>
      <c r="R26" s="40"/>
    </row>
    <row r="27" spans="1:18" hidden="1" x14ac:dyDescent="0.2">
      <c r="A27" s="43" t="s">
        <v>67</v>
      </c>
      <c r="B27" s="43"/>
      <c r="C27" s="43"/>
      <c r="D27" s="44"/>
      <c r="E27" s="44"/>
      <c r="F27" s="44"/>
      <c r="G27" s="43"/>
      <c r="H27" s="43"/>
      <c r="I27" s="45"/>
      <c r="J27" s="43"/>
      <c r="K27" s="45"/>
      <c r="L27" s="43"/>
      <c r="M27" s="43"/>
      <c r="N27" s="43"/>
      <c r="O27" s="43"/>
      <c r="P27" s="43"/>
      <c r="Q27" s="43"/>
      <c r="R27" s="43">
        <f>SUBTOTAL(103,FuncionalidadesImpactadas[[      ]])</f>
        <v>0</v>
      </c>
    </row>
  </sheetData>
  <mergeCells count="3">
    <mergeCell ref="L2:R2"/>
    <mergeCell ref="B1:H2"/>
    <mergeCell ref="I2:K2"/>
  </mergeCells>
  <phoneticPr fontId="3" type="noConversion"/>
  <dataValidations count="2">
    <dataValidation type="list" allowBlank="1" showInputMessage="1" showErrorMessage="1" sqref="I4:K7 J8 I9:K18 J19:J20 I21:K26 H4:H26" xr:uid="{00000000-0002-0000-0100-000000000000}">
      <formula1>"I,A,E,N/A"</formula1>
    </dataValidation>
    <dataValidation type="list" allowBlank="1" showInputMessage="1" showErrorMessage="1" sqref="B4:B26"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x14ac:dyDescent="0.2">
      <c r="B1" s="71" t="s">
        <v>40</v>
      </c>
      <c r="C1" s="71"/>
      <c r="D1" s="71"/>
      <c r="E1" s="71"/>
    </row>
    <row r="2" spans="1:10" s="3" customFormat="1" ht="27" customHeight="1" thickBot="1" x14ac:dyDescent="0.25">
      <c r="A2" s="2"/>
      <c r="B2" s="71"/>
      <c r="C2" s="71"/>
      <c r="D2" s="71"/>
      <c r="E2" s="71"/>
      <c r="F2" s="75" t="s">
        <v>41</v>
      </c>
      <c r="G2" s="75"/>
      <c r="H2" s="75"/>
      <c r="I2" s="75"/>
      <c r="J2" s="75"/>
    </row>
    <row r="3" spans="1:10" ht="60" customHeight="1" thickBot="1" x14ac:dyDescent="0.25">
      <c r="A3" s="29" t="s">
        <v>42</v>
      </c>
      <c r="B3" s="30" t="s">
        <v>25</v>
      </c>
      <c r="C3" s="30" t="s">
        <v>43</v>
      </c>
      <c r="D3" s="30" t="s">
        <v>27</v>
      </c>
      <c r="E3" s="30" t="s">
        <v>28</v>
      </c>
      <c r="F3" s="31">
        <v>123456789</v>
      </c>
      <c r="G3" s="31"/>
      <c r="H3" s="31"/>
      <c r="I3" s="31"/>
      <c r="J3" s="32"/>
    </row>
    <row r="4" spans="1:10" ht="19.5" customHeight="1" thickTop="1" x14ac:dyDescent="0.2">
      <c r="A4" s="76" t="s">
        <v>44</v>
      </c>
      <c r="B4" s="33"/>
      <c r="C4" s="33"/>
      <c r="D4" s="25"/>
      <c r="E4" s="34"/>
      <c r="F4" s="34"/>
      <c r="G4" s="34"/>
      <c r="H4" s="25"/>
      <c r="I4" s="34"/>
      <c r="J4" s="25"/>
    </row>
    <row r="5" spans="1:10" ht="19.5" customHeight="1" x14ac:dyDescent="0.2">
      <c r="A5" s="74"/>
      <c r="B5" s="27"/>
      <c r="C5" s="27"/>
      <c r="D5" s="26"/>
      <c r="E5" s="28"/>
      <c r="F5" s="28"/>
      <c r="G5" s="28"/>
      <c r="H5" s="26"/>
      <c r="I5" s="28"/>
      <c r="J5" s="26"/>
    </row>
    <row r="6" spans="1:10" ht="19.5" customHeight="1" x14ac:dyDescent="0.2">
      <c r="A6" s="74"/>
      <c r="B6" s="27"/>
      <c r="C6" s="27"/>
      <c r="D6" s="26"/>
      <c r="E6" s="28"/>
      <c r="F6" s="28"/>
      <c r="G6" s="28"/>
      <c r="H6" s="26"/>
      <c r="I6" s="28"/>
      <c r="J6" s="26"/>
    </row>
    <row r="7" spans="1:10" ht="19.5" customHeight="1" x14ac:dyDescent="0.2">
      <c r="A7" s="74" t="s">
        <v>45</v>
      </c>
      <c r="B7" s="27"/>
      <c r="C7" s="27"/>
      <c r="D7" s="26"/>
      <c r="E7" s="28"/>
      <c r="F7" s="28"/>
      <c r="G7" s="28"/>
      <c r="H7" s="26"/>
      <c r="I7" s="28"/>
      <c r="J7" s="26"/>
    </row>
    <row r="8" spans="1:10" ht="19.5" customHeight="1" x14ac:dyDescent="0.2">
      <c r="A8" s="74"/>
      <c r="B8" s="27"/>
      <c r="C8" s="27"/>
      <c r="D8" s="26"/>
      <c r="E8" s="28"/>
      <c r="F8" s="28"/>
      <c r="G8" s="28"/>
      <c r="H8" s="26"/>
      <c r="I8" s="28"/>
      <c r="J8" s="26"/>
    </row>
    <row r="9" spans="1:10" ht="19.5" customHeight="1" x14ac:dyDescent="0.2">
      <c r="A9" s="74"/>
      <c r="B9" s="27"/>
      <c r="C9" s="27"/>
      <c r="D9" s="26"/>
      <c r="E9" s="28"/>
      <c r="F9" s="28"/>
      <c r="G9" s="28"/>
      <c r="H9" s="26"/>
      <c r="I9" s="28"/>
      <c r="J9" s="26"/>
    </row>
    <row r="10" spans="1:10" ht="19.5" customHeight="1" x14ac:dyDescent="0.2">
      <c r="A10" s="74" t="s">
        <v>46</v>
      </c>
      <c r="B10" s="27"/>
      <c r="C10" s="27"/>
      <c r="D10" s="26"/>
      <c r="E10" s="28"/>
      <c r="F10" s="28"/>
      <c r="G10" s="28"/>
      <c r="H10" s="26"/>
      <c r="I10" s="28"/>
      <c r="J10" s="26"/>
    </row>
    <row r="11" spans="1:10" ht="19.5" customHeight="1" x14ac:dyDescent="0.2">
      <c r="A11" s="74"/>
      <c r="B11" s="27"/>
      <c r="C11" s="27"/>
      <c r="D11" s="26"/>
      <c r="E11" s="28"/>
      <c r="F11" s="28"/>
      <c r="G11" s="28"/>
      <c r="H11" s="26"/>
      <c r="I11" s="28"/>
      <c r="J11" s="26"/>
    </row>
    <row r="12" spans="1:10" ht="19.5" customHeight="1" x14ac:dyDescent="0.2">
      <c r="A12" s="74"/>
      <c r="B12" s="27"/>
      <c r="C12" s="27"/>
      <c r="D12" s="26"/>
      <c r="E12" s="28"/>
      <c r="F12" s="28"/>
      <c r="G12" s="28"/>
      <c r="H12" s="26"/>
      <c r="I12" s="28"/>
      <c r="J12" s="26"/>
    </row>
    <row r="13" spans="1:10" ht="19.5" customHeight="1" x14ac:dyDescent="0.2">
      <c r="A13" s="74" t="s">
        <v>47</v>
      </c>
      <c r="B13" s="27"/>
      <c r="C13" s="27"/>
      <c r="D13" s="26"/>
      <c r="E13" s="28"/>
      <c r="F13" s="28"/>
      <c r="G13" s="28"/>
      <c r="H13" s="26"/>
      <c r="I13" s="28"/>
      <c r="J13" s="26"/>
    </row>
    <row r="14" spans="1:10" ht="19.5" customHeight="1" x14ac:dyDescent="0.2">
      <c r="A14" s="74"/>
      <c r="B14" s="27"/>
      <c r="C14" s="27"/>
      <c r="D14" s="26"/>
      <c r="E14" s="28"/>
      <c r="F14" s="28"/>
      <c r="G14" s="28"/>
      <c r="H14" s="26"/>
      <c r="I14" s="28"/>
      <c r="J14" s="26"/>
    </row>
    <row r="15" spans="1:10" ht="19.5" customHeight="1" x14ac:dyDescent="0.2">
      <c r="A15" s="74"/>
      <c r="B15" s="27"/>
      <c r="C15" s="27"/>
      <c r="D15" s="26"/>
      <c r="E15" s="28"/>
      <c r="F15" s="28"/>
      <c r="G15" s="28"/>
      <c r="H15" s="26"/>
      <c r="I15" s="28"/>
      <c r="J15" s="26"/>
    </row>
    <row r="16" spans="1:10" ht="19.5" customHeight="1" x14ac:dyDescent="0.2">
      <c r="A16" s="74" t="s">
        <v>48</v>
      </c>
      <c r="B16" s="27"/>
      <c r="C16" s="27"/>
      <c r="D16" s="26"/>
      <c r="E16" s="28"/>
      <c r="F16" s="28"/>
      <c r="G16" s="28"/>
      <c r="H16" s="26"/>
      <c r="I16" s="28"/>
      <c r="J16" s="26"/>
    </row>
    <row r="17" spans="1:10" ht="19.5" customHeight="1" x14ac:dyDescent="0.2">
      <c r="A17" s="74"/>
      <c r="B17" s="27"/>
      <c r="C17" s="27"/>
      <c r="D17" s="26"/>
      <c r="E17" s="28"/>
      <c r="F17" s="28"/>
      <c r="G17" s="28"/>
      <c r="H17" s="26"/>
      <c r="I17" s="28"/>
      <c r="J17" s="26"/>
    </row>
    <row r="18" spans="1:10" ht="19.5" customHeight="1" x14ac:dyDescent="0.2">
      <c r="A18" s="74"/>
      <c r="B18" s="27"/>
      <c r="C18" s="27"/>
      <c r="D18" s="26"/>
      <c r="E18" s="28"/>
      <c r="F18" s="28"/>
      <c r="G18" s="28"/>
      <c r="H18" s="26"/>
      <c r="I18" s="28"/>
      <c r="J18" s="26"/>
    </row>
    <row r="19" spans="1:10" ht="19.5" customHeight="1" x14ac:dyDescent="0.2">
      <c r="A19" s="74" t="s">
        <v>49</v>
      </c>
      <c r="B19" s="27"/>
      <c r="C19" s="27"/>
      <c r="D19" s="26"/>
      <c r="E19" s="28"/>
      <c r="F19" s="28"/>
      <c r="G19" s="28"/>
      <c r="H19" s="26"/>
      <c r="I19" s="28"/>
      <c r="J19" s="26"/>
    </row>
    <row r="20" spans="1:10" ht="19.5" customHeight="1" x14ac:dyDescent="0.2">
      <c r="A20" s="74"/>
      <c r="B20" s="27"/>
      <c r="C20" s="27"/>
      <c r="D20" s="26"/>
      <c r="E20" s="28"/>
      <c r="F20" s="28"/>
      <c r="G20" s="28"/>
      <c r="H20" s="26"/>
      <c r="I20" s="28"/>
      <c r="J20" s="26"/>
    </row>
    <row r="21" spans="1:10" ht="19.5" customHeight="1" x14ac:dyDescent="0.2">
      <c r="A21" s="74"/>
      <c r="B21" s="27"/>
      <c r="C21" s="27"/>
      <c r="D21" s="26"/>
      <c r="E21" s="28"/>
      <c r="F21" s="28"/>
      <c r="G21" s="28"/>
      <c r="H21" s="26"/>
      <c r="I21" s="28"/>
      <c r="J21" s="26"/>
    </row>
    <row r="22" spans="1:10" ht="19.5" customHeight="1" x14ac:dyDescent="0.2">
      <c r="A22" s="74" t="s">
        <v>50</v>
      </c>
      <c r="B22" s="27"/>
      <c r="C22" s="27"/>
      <c r="D22" s="26"/>
      <c r="E22" s="28"/>
      <c r="F22" s="28"/>
      <c r="G22" s="28"/>
      <c r="H22" s="26"/>
      <c r="I22" s="28"/>
      <c r="J22" s="26"/>
    </row>
    <row r="23" spans="1:10" ht="19.5" customHeight="1" x14ac:dyDescent="0.2">
      <c r="A23" s="74"/>
      <c r="B23" s="27"/>
      <c r="C23" s="27"/>
      <c r="D23" s="26"/>
      <c r="E23" s="28"/>
      <c r="F23" s="28"/>
      <c r="G23" s="28"/>
      <c r="H23" s="26"/>
      <c r="I23" s="28"/>
      <c r="J23" s="26"/>
    </row>
    <row r="24" spans="1:10" ht="19.5" customHeight="1" x14ac:dyDescent="0.2">
      <c r="A24" s="74"/>
      <c r="B24" s="27"/>
      <c r="C24" s="27"/>
      <c r="D24" s="26"/>
      <c r="E24" s="28"/>
      <c r="F24" s="28"/>
      <c r="G24" s="28"/>
      <c r="H24" s="26"/>
      <c r="I24" s="28"/>
      <c r="J24" s="26"/>
    </row>
    <row r="25" spans="1:10" ht="19.5" customHeight="1" x14ac:dyDescent="0.2">
      <c r="A25" s="74"/>
      <c r="B25" s="27"/>
      <c r="C25" s="27"/>
      <c r="D25" s="26"/>
      <c r="E25" s="28"/>
      <c r="F25" s="28"/>
      <c r="G25" s="28"/>
      <c r="H25" s="26"/>
      <c r="I25" s="28"/>
      <c r="J25" s="26"/>
    </row>
    <row r="26" spans="1:10" ht="19.5" customHeight="1" x14ac:dyDescent="0.2">
      <c r="A26" s="74" t="s">
        <v>51</v>
      </c>
      <c r="B26" s="27"/>
      <c r="C26" s="27"/>
      <c r="D26" s="26"/>
      <c r="E26" s="28"/>
      <c r="F26" s="28"/>
      <c r="G26" s="28"/>
      <c r="H26" s="26"/>
      <c r="I26" s="28"/>
      <c r="J26" s="26"/>
    </row>
    <row r="27" spans="1:10" ht="19.5" customHeight="1" x14ac:dyDescent="0.2">
      <c r="A27" s="74"/>
      <c r="B27" s="27"/>
      <c r="C27" s="27"/>
      <c r="D27" s="26"/>
      <c r="E27" s="28"/>
      <c r="F27" s="28"/>
      <c r="G27" s="28"/>
      <c r="H27" s="26"/>
      <c r="I27" s="28"/>
      <c r="J27" s="26"/>
    </row>
    <row r="28" spans="1:10" ht="19.5" customHeight="1" x14ac:dyDescent="0.2">
      <c r="A28" s="74"/>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x14ac:dyDescent="0.2">
      <c r="B2" s="50"/>
      <c r="C2" s="51"/>
      <c r="D2" s="62" t="s">
        <v>0</v>
      </c>
      <c r="E2" s="63"/>
      <c r="F2" s="4" t="s">
        <v>1</v>
      </c>
    </row>
    <row r="3" spans="2:6" ht="24.75" customHeight="1" x14ac:dyDescent="0.2">
      <c r="B3" s="52"/>
      <c r="C3" s="53"/>
      <c r="D3" s="64"/>
      <c r="E3" s="65"/>
      <c r="F3" s="5">
        <f ca="1">NOW()</f>
        <v>45876.67378553241</v>
      </c>
    </row>
    <row r="4" spans="2:6" ht="27" customHeight="1" x14ac:dyDescent="0.2">
      <c r="B4" s="9"/>
      <c r="C4" s="9"/>
      <c r="D4" s="17"/>
      <c r="E4" s="17"/>
      <c r="F4" s="18"/>
    </row>
    <row r="6" spans="2:6" ht="15" x14ac:dyDescent="0.25">
      <c r="B6" s="79" t="s">
        <v>52</v>
      </c>
      <c r="C6" s="79"/>
      <c r="D6" s="79"/>
      <c r="E6" s="79"/>
      <c r="F6" s="79"/>
    </row>
    <row r="7" spans="2:6" ht="8.25" customHeight="1" x14ac:dyDescent="0.25">
      <c r="B7" s="16"/>
      <c r="C7" s="16"/>
      <c r="D7" s="16"/>
      <c r="E7" s="16"/>
      <c r="F7" s="16"/>
    </row>
    <row r="8" spans="2:6" s="3" customFormat="1" ht="17.25" customHeight="1" x14ac:dyDescent="0.2">
      <c r="B8" s="13" t="s">
        <v>8</v>
      </c>
      <c r="C8" s="13" t="s">
        <v>9</v>
      </c>
      <c r="D8" s="66" t="s">
        <v>10</v>
      </c>
      <c r="E8" s="66"/>
      <c r="F8" s="13" t="s">
        <v>11</v>
      </c>
    </row>
    <row r="9" spans="2:6" s="3" customFormat="1" ht="29.25" customHeight="1" x14ac:dyDescent="0.2">
      <c r="B9" s="15">
        <v>44552</v>
      </c>
      <c r="C9" s="14" t="s">
        <v>53</v>
      </c>
      <c r="D9" s="80" t="s">
        <v>54</v>
      </c>
      <c r="E9" s="81"/>
      <c r="F9" s="14" t="s">
        <v>55</v>
      </c>
    </row>
    <row r="10" spans="2:6" s="3" customFormat="1" ht="17.25" customHeight="1" x14ac:dyDescent="0.2">
      <c r="B10" s="35">
        <v>44635</v>
      </c>
      <c r="C10" s="36" t="s">
        <v>56</v>
      </c>
      <c r="D10" s="77" t="s">
        <v>57</v>
      </c>
      <c r="E10" s="78"/>
      <c r="F10" s="36" t="s">
        <v>55</v>
      </c>
    </row>
    <row r="11" spans="2:6" s="3" customFormat="1" ht="17.25" customHeight="1" x14ac:dyDescent="0.2">
      <c r="B11" s="35">
        <v>44676</v>
      </c>
      <c r="C11" s="36" t="s">
        <v>58</v>
      </c>
      <c r="D11" s="77" t="s">
        <v>59</v>
      </c>
      <c r="E11" s="78"/>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2.xml><?xml version="1.0" encoding="utf-8"?>
<ds:datastoreItem xmlns:ds="http://schemas.openxmlformats.org/officeDocument/2006/customXml" ds:itemID="{E0C51C86-73A3-4ABC-A766-214D268885DB}">
  <ds:schemaRefs>
    <ds:schemaRef ds:uri="http://schemas.microsoft.com/DataMashup"/>
  </ds:schemaRefs>
</ds:datastoreItem>
</file>

<file path=customXml/itemProps3.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4.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Vinícius Mello</cp:lastModifiedBy>
  <cp:revision/>
  <dcterms:created xsi:type="dcterms:W3CDTF">2009-01-22T19:36:23Z</dcterms:created>
  <dcterms:modified xsi:type="dcterms:W3CDTF">2025-08-07T19:10:24Z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