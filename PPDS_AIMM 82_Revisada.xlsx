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2"/>
  <workbookPr codeName="EstaPastaDeTrabalho"/>
  <bookViews>
    <workbookView xWindow="-105" yWindow="-105" windowWidth="20730" windowHeight="11760" tabRatio="607" activeTab="1"/>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authors>
    <author>tc={AA28BBE9-B750-42E2-9B8F-4D3A691E09FD}</author>
    <author>tc={F4932B39-46B2-4587-BDC9-A7AB62C6B196}</author>
    <author>tc={4A552237-8F4B-4686-8AE9-250B5C87DFAF}</author>
  </authors>
  <commentList>
    <comment ref="C6" authorId="0">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r>
      </text>
    </comment>
    <comment ref="F6" authorId="1">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r>
      </text>
    </comment>
    <comment ref="B20" authorId="2">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r>
      </text>
    </comment>
  </commentList>
</comments>
</file>

<file path=xl/comments2.xml><?xml version="1.0" encoding="utf-8"?>
<comments xmlns="http://schemas.openxmlformats.org/spreadsheetml/2006/main">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r>
      </text>
    </comment>
    <comment ref="B3" authorId="1">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r>
      </text>
    </comment>
    <comment ref="C3" authorId="2">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r>
      </text>
    </comment>
    <comment ref="D3" authorId="3">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r>
      </text>
    </comment>
    <comment ref="E3" authorId="4">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r>
      </text>
    </comment>
    <comment ref="F3" authorId="5">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r>
      </text>
    </comment>
    <comment ref="G3" authorId="6">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r>
      </text>
    </comment>
    <comment ref="H3" authorId="7">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r>
      </text>
    </comment>
    <comment ref="I3" authorId="8">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r>
      </text>
    </comment>
    <comment ref="J3" authorId="9">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r>
      </text>
    </comment>
  </commentList>
</comments>
</file>

<file path=xl/connections.xml><?xml version="1.0" encoding="utf-8"?>
<connections xmlns="http://schemas.openxmlformats.org/spreadsheetml/2006/main">
  <connection id="1"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<sst xmlns="http://schemas.openxmlformats.org/spreadsheetml/2006/main" count="336" uniqueCount="164">
  <si>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</si>
  <si>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</si>
  <si>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</si>
  <si>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</si>
  <si>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</si>
  <si>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</si>
  <si>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</si>
  <si>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</si>
  <si>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</si>
  <si>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</si>
  <si>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</si>
  <si>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</si>
  <si>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</si>
  <si>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</si>
  <si>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</si>
  <si>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</si>
  <si>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</si>
  <si>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</si>
  <si>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</si>
  <si>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</si>
  <si>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</si>
  <si>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</si>
  <si>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</si>
  <si>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</si>
  <si>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</si>
  <si>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</si>
  <si>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</si>
  <si>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</si>
  <si>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</si>
  <si>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</si>
  <si>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</si>
  <si>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</si>
  <si>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</si>
  <si>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</si>
  <si>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</si>
  <si>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</si>
  <si>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</si>
  <si>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</si>
  <si>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</si>
  <si>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</si>
  <si>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</si>
  <si>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</si>
  <si>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</si>
  <si>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</si>
  <si>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</si>
  <si>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</si>
  <si>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</si>
  <si>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</si>
  <si>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</si>
  <si>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</si>
  <si>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</si>
  <si>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</si>
  <si>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</si>
  <si>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</si>
  <si>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</si>
  <si>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</si>
  <si>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</si>
  <si>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</si>
  <si>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</si>
  <si>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</si>
  <si>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A</t>
  </si>
  <si>
    <t>Evolutiva</t>
  </si>
  <si>
    <t>E/S
RN/LP
RNF</t>
  </si>
  <si>
    <t>https://gid.caixa:9443/ccm/web/projects/Box%20Relacionamento%20Digital#action=com.ibm.team.workitem.viewWorkItem&amp;id=22576202</t>
  </si>
  <si>
    <t>https://gid.caixa:9443/ccm/web/projects/Box%20Relacionamento%20Digital#action=com.ibm.team.workitem.viewWorkItem&amp;id=22687679</t>
  </si>
  <si>
    <t>https://gid.caixa:9443/ccm/web/projects/Box%20Relacionamento%20Digital#action=com.ibm.team.workitem.viewWorkItem&amp;id=22719012</t>
  </si>
  <si>
    <t>https://gid.caixa:9443/ccm/web/projects/Box%20Relacionamento%20Digital#action=com.ibm.team.workitem.viewWorkItem&amp;id=22583089</t>
  </si>
  <si>
    <t>Gerar PDF dos Lançamentos em Conta Corrente</t>
  </si>
  <si>
    <t xml:space="preserve">HU 22525914
</t>
  </si>
  <si>
    <t>https://gid.caixa:9443/ccm/web/projects/Box%20Relacionamento%20Digital#action=com.ibm.team.workitem.viewWorkItem&amp;id=22525914</t>
  </si>
  <si>
    <t>https://gid.caixa:9443/ccm/web/projects/Box%20Relacionamento%20Digital#action=com.ibm.team.workitem.viewWorkItem&amp;id=22525739</t>
  </si>
  <si>
    <t>https://gid.caixa:9443/ccm/web/projects/Box%20Relacionamento%20Digital#action=com.ibm.team.workitem.viewWorkItem&amp;id=22718909</t>
  </si>
  <si>
    <t>https://gid.caixa:9443/ccm/web/projects/Box%20Relacionamento%20Digital#action=com.ibm.team.workitem.viewWorkItem&amp;id=21970520</t>
  </si>
  <si>
    <t>Alterar Pacote sinbc-portal</t>
  </si>
  <si>
    <t>HU 22576202</t>
  </si>
  <si>
    <r>
      <rPr>
        <b/>
        <sz val="11"/>
        <rFont val="Calibri"/>
        <family val="2"/>
      </rPr>
      <t>Manutenção adaptativa:</t>
    </r>
    <r>
      <rPr>
        <sz val="11"/>
        <rFont val="Calibri"/>
        <family val="2"/>
      </rPr>
      <t xml:space="preserve">
-Alterar o pacote sinbc-portal do JBOSS para a versão 7.4.
-Alterar o Java para a versão 8.
-O sistema deve manter a compatibilidade e desempenho após a alteração do pacote Jboss e a nova versão do Java.</t>
    </r>
  </si>
  <si>
    <t>Alterar dados da Empresa</t>
  </si>
  <si>
    <t>HU 22687679</t>
  </si>
  <si>
    <t>Consultar Painel de Contas</t>
  </si>
  <si>
    <t>Visualizar Painel de Controle</t>
  </si>
  <si>
    <t>HU 22668914
HU 22099114</t>
  </si>
  <si>
    <t>https://gid.caixa:9443/ccm/web/projects/Box%20Relacionamento%20Digital#action=com.ibm.team.workitem.viewWorkItem&amp;id=22668914
https://gid.caixa:9443/ccm/web/projects/Box%20Relacionamento%20Digital#action=com.ibm.team.workitem.viewWorkItem&amp;id=22099114</t>
  </si>
  <si>
    <t>E/S
RN/LP</t>
  </si>
  <si>
    <t>Emitir Boleto Personalizado</t>
  </si>
  <si>
    <t>Alterar funcionalidade para contas PJ Privada de contas NSGD e SIDEC AES/AEM:
- Incluir três abas: 'Dados da Empresa', 'Faturamento' e 'Quadro Societário'. 
- Incluir o campo "Faturamento anual" no qual permite que o usuário atualize o faturamento da empresa.
- O sistema realiza integração com o SICLI para envio dos dados alterados e/ou incluídos pelo usuário.
- O sistema envia informações (Sucesso ou Erro/Timeout) para o SIMCV através do código 4010.</t>
  </si>
  <si>
    <t>HU 22719012</t>
  </si>
  <si>
    <t xml:space="preserve">HU 22583089 </t>
  </si>
  <si>
    <t>E/S
RN/LP
EAD</t>
  </si>
  <si>
    <t>Sistema Externo (SIGCB)</t>
  </si>
  <si>
    <t>Alterado para recuperar do campo "Tipo Espécie" e apresentar as opções na combo "Espécie Documento".</t>
  </si>
  <si>
    <r>
      <t xml:space="preserve">Alterar funcionalidade para contas PJ Privada e Governo de contas NSGD e SIDEC AES/AEM:
- Incluir a combo "Espécie documento" que tem as opções pré-definidas (Cheque, Duplicata Mercantil, Duplicata Mercantil p/ Indicação, Duplicata de Serviço, Duplicata de Serviço p/ Indicação, Duplicata Rural, Letra de Câmbio, 
Nota de Crédito Comercial, Nota de Crédito à Exportação, Nota de Crédito Industrial, Nota de Crédito Rural, Nota Promissória, Nota Promissória Rural, Triplicata Mercantil, Triplicata de Serviço, Nota de Seguro, Recibo, Bloqueto, Nota de Débito, Apólice de Seguro, Mensalidade Escolar, Parcela de Consórcio, Nota Fiscal, Documento de Dívida, Cédula de Produto Rural, Warrant, Dívida Ativa de Estado, Dívida Ativa de Município, Dívida Ativa da União, Encargos condominiais, Cartão de Crédito, Boleto Proposta, Boleto de Depósito e Aporte, Outros). 
- A combo "Espécie documento" já vem pré-selecionado como '99 - Outros', podendo ser alterado pelo usuário.
</t>
    </r>
    <r>
      <rPr>
        <b/>
        <sz val="11"/>
        <rFont val="Calibri"/>
        <family val="2"/>
      </rPr>
      <t>- O GCX recupera a listagem da combo "Espécie documento" através do sistema externo (SIGCB).</t>
    </r>
  </si>
  <si>
    <t>Consultar Lançamentos em Conta Corrente</t>
  </si>
  <si>
    <t>I</t>
  </si>
  <si>
    <t>Sistema Externo (SIBAR Nova Cobrança Bancária)</t>
  </si>
  <si>
    <t>Criar funcionalidade para contas PJ Privada e Governo de contas NSGD e SIDEC AES/AEM:
- O arquivo deve apresentar os mesmos campos da tabela (Resultado da Consulta Lançamentos em conta corrente), os dados da conta logada (nome da Empresa, CNPJ, Agência e Conta) e os principais contatos da caixa.
- O sistema envia informações (Sucesso ou Erro/Timeout) para o SIMCV através do código "Nova Cobranca - Lanc em conta corrente - PDF - 20399".</t>
  </si>
  <si>
    <t>HU 22525739</t>
  </si>
  <si>
    <t>Consultar Extrato de Movimentação de Títulos</t>
  </si>
  <si>
    <t>Sistema Externo (SIBAR)</t>
  </si>
  <si>
    <t>Alterado para recuperar a listagem da combo "Informe o beneficiário que deseja utilizar", e as movimentações de títulos dos últimos 30 dias.</t>
  </si>
  <si>
    <t>HU 22718909</t>
  </si>
  <si>
    <t>Gerar PDF Movimentações de Títulos Nova Cobrança Bancária</t>
  </si>
  <si>
    <t>Alterar funcionalidade para contas PJ Privada e Governo de contas NSGD e SIDEC AES/AEM:
- Incluir o campo n° da conta (Agência, Operação e conta-DV).</t>
  </si>
  <si>
    <t>Detalhar Boleto</t>
  </si>
  <si>
    <t>Alterar funcionalidade para contas PJ Privada e Governo de contas NSGD e SIDEC AES/AEM:
- Incluir os botões (Alterar Boleto e Baixar Boleto) que só devem ser apresentados quando o status do boleto for "Em aberto" ou "Em aberto -Vencido".
- O botão (2ª via) só deve ser apresentado quando o status do boleto for "Em aberto" ou "Em aberto -Vencido".</t>
  </si>
  <si>
    <t>Incluir Pagador</t>
  </si>
  <si>
    <t>Alterar Boleto</t>
  </si>
  <si>
    <t>Alterar funcionalidade para contas PJ Privada e Governo de contas NSGD e SIDEC AES/AEM:
- Quando o botão retornar for acionado, o sistema deve direcionar para a funcionalidade de Consultar meus boletos, com os filtros em branco para nova consulta.</t>
  </si>
  <si>
    <t>HU 21970520</t>
  </si>
  <si>
    <t>Alterado para recuperar os campos (Nome do pagador, Nosso número, Número do documento, Valor do título, Vencimento, Situação e Último comando) e as mensagens de erro.</t>
  </si>
  <si>
    <t>sistema externo (SIBAR)</t>
  </si>
  <si>
    <t>Exportar Extrato Enriquecido para XLS</t>
  </si>
  <si>
    <t>RN/LP
RNF</t>
  </si>
  <si>
    <t xml:space="preserve">Alterar funcionalidade para Contas NSGD de Assinatura simples e múltipla;
Inclusão de dois novos campos na exportação do formato XLS do Extrato Enriquecido: 
- CPF/CNPJ
- Nome/Razão Social
Para realizar essa inclusão, foi necessária a criação de um novo endpoint.
</t>
  </si>
  <si>
    <t xml:space="preserve">HU 22724624
</t>
  </si>
  <si>
    <t>https://gid.caixa:9443/ccm/web/projects/Box%20Relacionamento%20Digital#action=com.ibm.team.workitem.viewWorkItem&amp;id=22724624</t>
  </si>
  <si>
    <t>Extrato Enriquecido</t>
  </si>
  <si>
    <t xml:space="preserve">Alterar funcionalidade para:
Correções no layout do Extrato Enriquecido para atender ao padrão definido no Figma. 
 - Ajuste de capitalização de texto em 'Resumo Transações' e 'Outro Período'. 
- Ajuste no negrito das labels 'Data Inicial' e 'Data Final'. 
- Correção do ícone de seleção de data no calendário.	</t>
  </si>
  <si>
    <t xml:space="preserve">HU 22699222
</t>
  </si>
  <si>
    <t>https://gid.caixa:9443/ccm/web/projects/Box%20Relacionamento%20Digital#action=com.ibm.team.workitem.viewWorkItem&amp;id=22699222</t>
  </si>
  <si>
    <t xml:space="preserve">Incluir funcionalidade para:
Disponibilização da opção de exportação do Extrato Enriquecido para o formato PDF, possibilitando ao usuário a impressão do mesmo. A exportação obedecerá a formatação no novo layout do Gerenciador.
</t>
  </si>
  <si>
    <t xml:space="preserve">HU 22537551
</t>
  </si>
  <si>
    <t>https://gid.caixa:9443/ccm/web/projects/Box%20Relacionamento%20Digital#action=com.ibm.team.workitem.viewWorkItem&amp;id=22537551</t>
  </si>
  <si>
    <t>Extrato Enriquecido - Consultar Detalhe de Pagamentos GPS</t>
  </si>
  <si>
    <t>Incluir funcionalidade para:
Apresentar ao usuário detalhamento das transações de Pagamentos - GPS com os seguintes campos:
- Detalhes da conta
Nome
Conta de débito
- Detalhes do Pagamento
Código de pagamento
Competência
Identificador
Valor do INSS
Valor de outras Entidades
ATM/Multa e juros
Valor total
Data do débito
Data da operação
- Alteração da integração com o SIMCV para começar a gravar os dados específicos dessa transação: 
51131 - Detalhar GPS</t>
  </si>
  <si>
    <t xml:space="preserve">HU 22690785 
</t>
  </si>
  <si>
    <t>https://gid.caixa:9443/ccm/web/projects/Box%20Relacionamento%20Digital#action=com.ibm.team.workitem.viewWorkItem&amp;id=22690785</t>
  </si>
  <si>
    <t>Extrato Enriquecido - Consultar Detalhe de Pagamentos DARF</t>
  </si>
  <si>
    <r>
      <t>Incluir funcionalidade para:
Apresentar ao usuário detalhamento das transações de Pagamentos - DARF com os seguintes campos:
1. Detalhes DARF com código de barras:</t>
    </r>
    <r>
      <rPr>
        <b/>
        <sz val="11"/>
        <rFont val="Calibri"/>
        <family val="2"/>
      </rPr>
      <t xml:space="preserve">
Detalhes da Conta
</t>
    </r>
    <r>
      <rPr>
        <sz val="11"/>
        <rFont val="Calibri"/>
        <family val="2"/>
      </rPr>
      <t xml:space="preserve">Agência
Conta de Débito
</t>
    </r>
    <r>
      <rPr>
        <b/>
        <sz val="11"/>
        <rFont val="Calibri"/>
        <family val="2"/>
      </rPr>
      <t>Detalhes do boleto</t>
    </r>
    <r>
      <rPr>
        <sz val="11"/>
        <rFont val="Calibri"/>
        <family val="2"/>
      </rPr>
      <t xml:space="preserve">
Código de barras
Nome do convenente
</t>
    </r>
    <r>
      <rPr>
        <b/>
        <sz val="11"/>
        <rFont val="Calibri"/>
        <family val="2"/>
      </rPr>
      <t>Detalhes do Pagamento</t>
    </r>
    <r>
      <rPr>
        <sz val="11"/>
        <rFont val="Calibri"/>
        <family val="2"/>
      </rPr>
      <t xml:space="preserve">
Valor pago
Data do débito
Data da operação
2. Detalhes DARF sem código de barras:
</t>
    </r>
    <r>
      <rPr>
        <b/>
        <sz val="11"/>
        <rFont val="Calibri"/>
        <family val="2"/>
      </rPr>
      <t>Detalhes da conta</t>
    </r>
    <r>
      <rPr>
        <sz val="11"/>
        <rFont val="Calibri"/>
        <family val="2"/>
      </rPr>
      <t xml:space="preserve">
Nome
Conta de débito
</t>
    </r>
    <r>
      <rPr>
        <b/>
        <sz val="11"/>
        <rFont val="Calibri"/>
        <family val="2"/>
      </rPr>
      <t>Detalhes do Pagamento</t>
    </r>
    <r>
      <rPr>
        <sz val="11"/>
        <rFont val="Calibri"/>
        <family val="2"/>
      </rPr>
      <t xml:space="preserve">
Código da Receita
Período de apuração  (igual a "Data apuração")
CPF/CNPJ
Valor total  (valor do débito)
Data do débito
Data da operação
- Alteração da integração com o SIMCV para começar a gravar os dados específicos dessa transação: 
51107 - Detalhar Extrato DARF Efetuado (com cód. barra) 
51146 - Detalhar Extrato DARF Efetuado (sem barra)
</t>
    </r>
  </si>
  <si>
    <t xml:space="preserve">HU 22690800 
</t>
  </si>
  <si>
    <t>https://gid.caixa:9443/ccm/web/projects/Box%20Relacionamento%20Digital#action=com.ibm.team.workitem.viewWorkItem&amp;id=22690800</t>
  </si>
  <si>
    <t xml:space="preserve">HU 22696072
</t>
  </si>
  <si>
    <t>https://gid.caixa:9443/ccm/web/projects/Box%20Relacionamento%20Digital#action=com.ibm.team.workitem.viewWorkItem&amp;id=22696072</t>
  </si>
  <si>
    <t>Transferência Inteligente - Pendência</t>
  </si>
  <si>
    <t>Extrato Pix - Agendamento Recorrente</t>
  </si>
  <si>
    <t xml:space="preserve">HU 22530125
</t>
  </si>
  <si>
    <t>https://gid.caixa:9443/ccm/web/projects/Box%20Relacionamento%20Digital#action=com.ibm.team.workitem.viewWorkItem&amp;id=22530125</t>
  </si>
  <si>
    <r>
      <rPr>
        <b/>
        <i/>
        <sz val="11"/>
        <rFont val="Calibri"/>
        <family val="2"/>
      </rPr>
      <t>Manutenção Adaptativa</t>
    </r>
    <r>
      <rPr>
        <sz val="11"/>
        <rFont val="Calibri"/>
        <family val="2"/>
      </rPr>
      <t xml:space="preserve">
Adequação do Gerenciador para permitir a usabilidade do produto 1471 em contas do tipo NSGD. 
Alterações necessárias para:
- Cliente criar usuário novo conta 1471
- Cliente adicionar conta nova 1471
- Cliente enviar TEV destino 1471
- Cliente enviar pix com dados bancários destino 1471
E para que possa aceitar o produto 1471 nos seguintes fluxos:
- Cliente enviar Pix
- CLiente consultar extrato
- Cliente enviar TEV
- Cliente enviar TED
- Cliente pagar boleto
Foi alterado o NU_PRODUTO_NSGD de '0' para '1471' e o NO_CORRELACAO_PRODUTO para 'Cta Corr Empr Ativ Vinc Serv Fin' onde o NU_PRODUTO_LEGADO = '7'
O conteudo atual da tabela NBCTB068_CORRELACAO_PRODUTO, no formato JSON, é:
    "NU_CORRELACAO_PRODUTO": 9,
    "NU_PRODUTO_LEGADO": 7,
    "NU_PRODUTO_NSGD": 1471,
    "NO_CORRELACAO_PRODUTO": "Cta Corr Empr Ativ Vinc Serv Fin",
    "NU_SEGMENTO_PERFIL_BANKING_012": 6,
    "CO_USUARIO": "c066367",
    "TS_MANUTENCAO_REGISTRO": "2017-08-17 17:27:00.000000",
    "IC_SITUACAO_CORRELACAO": "A",
    "NU_ORDENACAO": 10</t>
    </r>
  </si>
  <si>
    <t xml:space="preserve">HU 22655090 
</t>
  </si>
  <si>
    <t>https://gid.caixa:9443/ccm/web/projects/Box%20Relacionamento%20Digital#action=com.ibm.team.workitem.viewWorkItem&amp;id=22655090</t>
  </si>
  <si>
    <t>NBCTB068_CORRELACAO_PRODUTO</t>
  </si>
  <si>
    <t xml:space="preserve">HU 22692093  
</t>
  </si>
  <si>
    <t>https://gid.caixa:9443/ccm/web/projects/Box%20Relacionamento%20Digital#action=com.ibm.team.workitem.viewWorkItem&amp;id=22692093</t>
  </si>
  <si>
    <t xml:space="preserve">HU 22728511    
</t>
  </si>
  <si>
    <t>https://gid.caixa:9443/ccm/web/projects/Box%20Relacionamento%20Digital#action=com.ibm.team.workitem.viewWorkItem&amp;id=22728511</t>
  </si>
  <si>
    <t>Vinícius Mello
Kerollaine Sousa</t>
  </si>
  <si>
    <t>RNF</t>
  </si>
  <si>
    <t xml:space="preserve">Listar Boletos </t>
  </si>
  <si>
    <t>Autorizar Transferência Inteligente</t>
  </si>
  <si>
    <t xml:space="preserve">Adequação do GCX ao produto NSGD 1471
</t>
  </si>
  <si>
    <t>Efetuar Login</t>
  </si>
  <si>
    <t xml:space="preserve">Alterar funcionalidade para contas PJ Privada de contas NSGD e SIDEC AES:
- Inclusão de novas colunas no Painel de Contas: Número da Conta, Apelido, Saldo Disponível, Valor Bloqueado e Saldo Total.
- Alterar a operação RESUMO_CONTAS para a nova operação SALDOS_MARCAS_GRUPO que retorna do xml.
</t>
  </si>
  <si>
    <t xml:space="preserve">Alterar funcionalidade para contas PJ Privada de contas NSGD e SIDEC AES:
- Inclusão de novas colunas no card: Número da Conta, Saldo Disponível, Valor Bloqueado e Saldo Total.
- Alterar a operação RESUMO_CONTAS para a nova operação SALDOS_MARCAS_GRUPO.
</t>
  </si>
  <si>
    <t>Recuperação do nome do Beneficiário e mensagens de erro.</t>
  </si>
  <si>
    <r>
      <t xml:space="preserve">Alterar funcionalidade para contas PJ Privada e Governo de contas NSGD e SIDEC AES/AEM:
- Inclusão dos campos  (Nome do pagador, Nosso número, Número do documento, Valor do título, Vencimento, Situação e Último comando) e apresentação das mensagens de erro recuperadas do </t>
    </r>
    <r>
      <rPr>
        <b/>
        <u/>
        <sz val="11"/>
        <rFont val="Calibri"/>
        <family val="2"/>
      </rPr>
      <t>SIBAR- Nova Cobrança Bancária (sistema externo).</t>
    </r>
    <r>
      <rPr>
        <sz val="11"/>
        <rFont val="Calibri"/>
        <family val="2"/>
      </rPr>
      <t xml:space="preserve">
- O sistema deve apresentar 20 itens por página, o usuário pode alterar a exibição dos itens da listagem entre (05, 10 e 20).
- Inclusão dos campos  (Nome do pagador, Nosso número, Número do documento, Valor do título, Vencimento, Situação e Último comando) e apresentação das mensagens de erro recuperadas do</t>
    </r>
    <r>
      <rPr>
        <u/>
        <sz val="11"/>
        <rFont val="Calibri"/>
        <family val="2"/>
      </rPr>
      <t xml:space="preserve"> </t>
    </r>
    <r>
      <rPr>
        <b/>
        <u/>
        <sz val="11"/>
        <rFont val="Calibri"/>
        <family val="2"/>
      </rPr>
      <t>SIBAR- Nova Cobrança Bancária (sistema externo).</t>
    </r>
    <r>
      <rPr>
        <sz val="11"/>
        <rFont val="Calibri"/>
        <family val="2"/>
      </rPr>
      <t xml:space="preserve">
- O sistema envia informações (Sucesso ou Erro/Timeout) para o SIMCV através do código "20385 - Nova Cobranca- Listar meus boletos"</t>
    </r>
  </si>
  <si>
    <t xml:space="preserve">Alterar Funcionalidade para:
Inclusão da exibição dos limites transacionais disponíveis para o cliente. Será apresentada uma modal com as informações de: Limite Total, Limite Anual, Limite por Transação, Limite Diário, Limite, Semanal.
</t>
  </si>
  <si>
    <t xml:space="preserve">Alterar Funcionalidade para:
Inclusão da exibição dos limites transacionais disponíveis para o cliente. 
</t>
  </si>
  <si>
    <t xml:space="preserve">Interface da funcionalidade alterada para:
Foi realizada a alteração da exposição da data e hora no detalhamento do extrato Pix das operações originadas do Agendamento Recorrente.
Com a alteração passará e ser exibida a data com a label "Data do Agendamento" e, onde é exibida a data de efetivação do agendamento, a label ficou como "Data do Débito".
</t>
  </si>
  <si>
    <t xml:space="preserve">Pagar / Transferir PIX
</t>
  </si>
  <si>
    <t xml:space="preserve">Alterar funcionalidade para:
1 - Inclusão de validação:Caso cliente tenha mais de 21 contas deverá ser apresentada  mensagem informativa
2 -  Ajuste no fluxo de refresh para exibir a lista corretamente.
3 -  ajuste com a redução da quantidade máxima de contas carregadas no login do Gerenciador de 70 para 21.
</t>
  </si>
  <si>
    <t xml:space="preserve">Alterar funcionalidade para contas PJ Privada e Governo de contas NSGD e SIDEC AES/AEM:
- O botão "Gerar Boleto" ao ser acionado, deve direcionar para a respectiva funcionalidade (Gerar boleto). Anteriormente o botão não direcionava o usuário para nenhuma funcionalidade. </t>
  </si>
  <si>
    <t xml:space="preserve">Exportar Extrato Enriquecido  para PDF </t>
  </si>
  <si>
    <r>
      <rPr>
        <b/>
        <i/>
        <sz val="11"/>
        <color rgb="FFFF0000"/>
        <rFont val="Calibri"/>
        <family val="2"/>
      </rPr>
      <t>Manutenção Adaptativa</t>
    </r>
    <r>
      <rPr>
        <sz val="11"/>
        <rFont val="Calibri"/>
        <family val="2"/>
      </rPr>
      <t xml:space="preserve">
Alteração da interface da funcionalidade para:
Realizar a alteração na combox "Tipo"do nome do produto 0146 de 'Poupança PJ Sem Fins Lucrativos CAIXA' para 'Poupança Pessoa Jurídica Pública'. 
Remoção do produto 0145 da relação dos tipos contas disponíveis na combobox "Tipo".</t>
    </r>
  </si>
  <si>
    <r>
      <t xml:space="preserve">Criar funcionalidade para contas PJ Privada e Governo de contas NSGD e SIDEC AES/AEM:
- Incluir a combo "Informe o beneficiário que deseja utilizar".
- Incluir o campo "Informe um período para pesquisa" que apresenta os filtros (Data inicial e Data final) e o botão "Filtrar".
- Quando o botão filtrar for acionado, o sistema deve apresentar o extrato da movimentação de títulos dos últimos 30 dias.
- Incluir tabela de resultado com as colunas ('Nosso Número', 'Número do Documento', 'Data de Vencimento', 'Valor do Título' e 'Último Comando').
- Incluir botão "Gerar PDF" que ao ser acionado, direciona o usuário para a respectiva funcionalidade (habilitar o botão apenas quando houver movimentações disponíveis).
- O GCX recupera a listagem da combo "Informe o beneficiário que deseja utilizar", o resultado da consulta e as mensagens de erro através do </t>
    </r>
    <r>
      <rPr>
        <b/>
        <u/>
        <sz val="11"/>
        <rFont val="Calibri"/>
        <family val="2"/>
      </rPr>
      <t>sistema externo (SIBAR)</t>
    </r>
    <r>
      <rPr>
        <sz val="11"/>
        <rFont val="Calibri"/>
        <family val="2"/>
      </rPr>
      <t>.</t>
    </r>
  </si>
  <si>
    <r>
      <t xml:space="preserve">Criar funcionalidade para contas PJ Privada e Governo de contas NSGD e SIDEC AES/AEM:
- Incluir a combo "Informe o beneficiário que deseja utilizar".
- Incluir o campo "Informe um período para pesquisa" que apresenta os filtros (Data inicial e Data final) e o botão "Filtrar".
- Quando o botão filtrar for acionado, o sistema deve apresentar os dados da conta logada (nome da Empresa, CNPJ, Agência e Conta).
- Incluir a combo "Ordenar por" com as opções (Data, Crédito e Débito).
ação da tela para consulta de lançamentos em conta corrente. 
- Incluir tabela de resultado com as colunas (Data e Valor).
- Incluir botão "Gerar PDF" que ao ser acionado, direciona o usuário para a respectiva funcionalidade (habilitar o botão apenas quando houver lançamentos disponíveis).
- Realizar a contagem dos registros retornados e apresentar o total de itens por página (Limitado a 20 registros por página), caso retorne mais registros, o sistema apresenta paginação.
- O GCX recupera a listagem da combo "Informe o beneficiário que deseja utilizar", o resultado da consulta e as mensagens de erro através do </t>
    </r>
    <r>
      <rPr>
        <b/>
        <u/>
        <sz val="11"/>
        <rFont val="Calibri"/>
        <family val="2"/>
      </rPr>
      <t>sistema externo (SIBAR)</t>
    </r>
    <r>
      <rPr>
        <sz val="11"/>
        <rFont val="Calibri"/>
        <family val="2"/>
      </rPr>
      <t>.</t>
    </r>
    <r>
      <rPr>
        <b/>
        <sz val="11"/>
        <rFont val="Calibri"/>
        <family val="2"/>
      </rPr>
      <t xml:space="preserve">
</t>
    </r>
    <r>
      <rPr>
        <sz val="11"/>
        <rFont val="Calibri"/>
        <family val="2"/>
      </rPr>
      <t>- O sistema envia informações (Sucesso ou Erro/Timeout) para o SIMCV através do código "Nova cobrança - Consulta lançamentos conta - 20390".</t>
    </r>
  </si>
</sst>
</file>

<file path=xl/styles.xml><?xml version="1.0" encoding="utf-8"?>
<styleSheet xmlns="http://schemas.openxmlformats.org/spreadsheetml/2006/main" xmlns:mc="http://schemas.openxmlformats.org/markup-compatibility/2006" xmlns:x14ac="http://schemas.microsoft.com/office/spreadsheetml/2009/9/ac" mc:Ignorable="x14ac">
  <fonts count="36"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u/>
      <sz val="11"/>
      <name val="Calibri"/>
      <family val="2"/>
    </font>
    <font>
      <sz val="11"/>
      <name val="Calibri"/>
      <family val="2"/>
      <scheme val="minor"/>
    </font>
    <font>
      <b/>
      <sz val="11"/>
      <name val="Calibri"/>
      <family val="2"/>
    </font>
    <font>
      <sz val="10"/>
      <color theme="1"/>
      <name val="Calibri"/>
      <family val="2"/>
    </font>
    <font>
      <sz val="10"/>
      <name val="Calibri"/>
      <family val="2"/>
    </font>
    <font>
      <b/>
      <i/>
      <sz val="11"/>
      <name val="Calibri"/>
      <family val="2"/>
    </font>
    <font>
      <b/>
      <u/>
      <sz val="11"/>
      <name val="Calibri"/>
      <family val="2"/>
    </font>
    <font>
      <b/>
      <i/>
      <sz val="11"/>
      <color rgb="FFFF0000"/>
      <name val="Calibri"/>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
      <patternFill patternType="solid">
        <fgColor rgb="FFFFFF00"/>
        <bgColor indexed="64"/>
      </patternFill>
    </fill>
  </fills>
  <borders count="3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95">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8" fillId="26" borderId="10" xfId="41" applyFont="1" applyFill="1" applyBorder="1" applyAlignment="1">
      <alignment horizontal="left" vertical="center" wrapText="1"/>
    </xf>
    <xf numFmtId="0" fontId="29" fillId="26" borderId="10" xfId="0" applyFont="1" applyFill="1" applyBorder="1" applyAlignment="1">
      <alignment horizontal="center" vertical="center"/>
    </xf>
    <xf numFmtId="0" fontId="29" fillId="26" borderId="10" xfId="0" applyFont="1" applyFill="1" applyBorder="1" applyAlignment="1">
      <alignment horizontal="center" vertical="center" wrapText="1"/>
    </xf>
    <xf numFmtId="0" fontId="27" fillId="26" borderId="10" xfId="0" applyFont="1" applyFill="1" applyBorder="1" applyAlignment="1">
      <alignment horizontal="left" vertical="center" wrapText="1"/>
    </xf>
    <xf numFmtId="0" fontId="27" fillId="26" borderId="0" xfId="0" applyFont="1" applyFill="1" applyAlignment="1">
      <alignment vertical="center" wrapText="1"/>
    </xf>
    <xf numFmtId="0" fontId="31" fillId="0" borderId="30" xfId="0" applyFont="1" applyBorder="1" applyAlignment="1">
      <alignment horizontal="center" vertical="center"/>
    </xf>
    <xf numFmtId="0" fontId="32" fillId="26" borderId="10" xfId="0" applyFont="1" applyFill="1" applyBorder="1" applyAlignment="1">
      <alignment horizontal="center" vertical="center"/>
    </xf>
    <xf numFmtId="0" fontId="29" fillId="26" borderId="10" xfId="0" applyFont="1" applyFill="1" applyBorder="1" applyAlignment="1">
      <alignment horizontal="left" vertical="center"/>
    </xf>
    <xf numFmtId="0" fontId="27" fillId="26" borderId="10" xfId="0" applyFont="1" applyFill="1" applyBorder="1" applyAlignment="1">
      <alignment horizontal="left" vertical="center"/>
    </xf>
    <xf numFmtId="0" fontId="0" fillId="26" borderId="10" xfId="0" applyFill="1" applyBorder="1" applyAlignment="1">
      <alignment horizontal="center" vertical="center"/>
    </xf>
    <xf numFmtId="0" fontId="27" fillId="26" borderId="11" xfId="0" applyFont="1" applyFill="1" applyBorder="1" applyAlignment="1">
      <alignment horizontal="center" vertical="center"/>
    </xf>
    <xf numFmtId="0" fontId="27" fillId="26" borderId="11" xfId="0" applyFont="1" applyFill="1" applyBorder="1" applyAlignment="1">
      <alignment horizontal="left" vertical="center" wrapText="1"/>
    </xf>
    <xf numFmtId="0" fontId="28" fillId="26" borderId="11" xfId="41" applyFont="1" applyFill="1" applyBorder="1" applyAlignment="1">
      <alignment horizontal="left" vertical="center" wrapText="1"/>
    </xf>
    <xf numFmtId="0" fontId="27" fillId="26" borderId="11" xfId="0" applyFont="1" applyFill="1" applyBorder="1" applyAlignment="1">
      <alignment horizontal="left" vertical="center"/>
    </xf>
    <xf numFmtId="0" fontId="0" fillId="26" borderId="11" xfId="0" applyFill="1" applyBorder="1" applyAlignment="1">
      <alignment horizontal="center" vertical="center"/>
    </xf>
    <xf numFmtId="0" fontId="32" fillId="0" borderId="10" xfId="0" applyFont="1" applyFill="1" applyBorder="1" applyAlignment="1">
      <alignment horizontal="center" vertical="center"/>
    </xf>
    <xf numFmtId="0" fontId="27" fillId="27" borderId="0" xfId="0" applyFont="1" applyFill="1" applyAlignment="1">
      <alignment horizontal="center" vertical="center"/>
    </xf>
    <xf numFmtId="0" fontId="27" fillId="27" borderId="10" xfId="0" applyFont="1" applyFill="1" applyBorder="1" applyAlignment="1">
      <alignment horizontal="left" vertical="center" wrapText="1"/>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1" fillId="0" borderId="29"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id="2" name="FuncionalidadesImpactadas" displayName="FuncionalidadesImpactadas" ref="A3:R27" totalsRowShown="0" headerRowDxfId="20" dataDxfId="18" headerRowBorderDxfId="19">
  <autoFilter ref="A3:R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name="Funcionalidade" dataDxfId="17"/>
    <tableColumn id="2" name="Tipo de_x000a_Mudança na_x000a_Funcionalidade" dataDxfId="16"/>
    <tableColumn id="3" name="Itens Afetados " dataDxfId="15"/>
    <tableColumn id="4" name="Descrição da Mudança" dataDxfId="14"/>
    <tableColumn id="5" name="Artefato" dataDxfId="13"/>
    <tableColumn id="6" name="Localização dos Artefatos" dataDxfId="12"/>
    <tableColumn id="7" name="Versão do Artefato" dataDxfId="11"/>
    <tableColumn id="8" name="Tipo de Mudança no Artefato" dataDxfId="10"/>
    <tableColumn id="9" name="Tabela Impactada" dataDxfId="9"/>
    <tableColumn id="10" name="Tipo de Impacto" dataDxfId="8"/>
    <tableColumn id="17" name="Descrição da Mudança na Tabela" dataDxfId="7"/>
    <tableColumn id="13" name="Coluna1" dataDxfId="6"/>
    <tableColumn id="14" name=" " dataDxfId="5"/>
    <tableColumn id="18" name="  " dataDxfId="4"/>
    <tableColumn id="15" name="   " dataDxfId="3"/>
    <tableColumn id="11" name="    " dataDxfId="2"/>
    <tableColumn id="12" name="     " dataDxfId="1"/>
    <tableColumn id="16"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2">
    <tabColor theme="8"/>
  </sheetPr>
  <dimension ref="B2:I21"/>
  <sheetViews>
    <sheetView showGridLines="0" zoomScaleNormal="100" workbookViewId="0">
      <selection activeCell="I11" sqref="I11"/>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9" ht="24.75" customHeight="1" x14ac:dyDescent="0.2">
      <c r="B2" s="63"/>
      <c r="C2" s="64"/>
      <c r="D2" s="75" t="s">
        <v>0</v>
      </c>
      <c r="E2" s="76"/>
      <c r="F2" s="4" t="s">
        <v>1</v>
      </c>
    </row>
    <row r="3" spans="2:9" ht="24.75" customHeight="1" x14ac:dyDescent="0.2">
      <c r="B3" s="65"/>
      <c r="C3" s="66"/>
      <c r="D3" s="77"/>
      <c r="E3" s="78"/>
      <c r="F3" s="5">
        <f ca="1">NOW()</f>
        <v>45728.460619212965</v>
      </c>
    </row>
    <row r="6" spans="2:9" s="3" customFormat="1" ht="18" customHeight="1" x14ac:dyDescent="0.2">
      <c r="B6" s="11" t="s">
        <v>2</v>
      </c>
      <c r="C6" s="70" t="s">
        <v>3</v>
      </c>
      <c r="D6" s="71"/>
      <c r="E6" s="11" t="s">
        <v>4</v>
      </c>
      <c r="F6" s="12"/>
    </row>
    <row r="7" spans="2:9" s="3" customFormat="1" ht="18" customHeight="1" x14ac:dyDescent="0.2">
      <c r="B7" s="11" t="s">
        <v>5</v>
      </c>
      <c r="C7" s="70" t="s">
        <v>61</v>
      </c>
      <c r="D7" s="71"/>
      <c r="E7" s="11" t="s">
        <v>6</v>
      </c>
      <c r="F7" s="12"/>
    </row>
    <row r="8" spans="2:9" ht="19.5" customHeight="1" x14ac:dyDescent="0.2"/>
    <row r="9" spans="2:9" ht="15" x14ac:dyDescent="0.25">
      <c r="B9" s="6" t="s">
        <v>7</v>
      </c>
    </row>
    <row r="10" spans="2:9" s="3" customFormat="1" ht="17.25" customHeight="1" x14ac:dyDescent="0.2">
      <c r="B10" s="13" t="s">
        <v>8</v>
      </c>
      <c r="C10" s="13" t="s">
        <v>9</v>
      </c>
      <c r="D10" s="79" t="s">
        <v>10</v>
      </c>
      <c r="E10" s="79"/>
      <c r="F10" s="13" t="s">
        <v>11</v>
      </c>
    </row>
    <row r="11" spans="2:9" s="3" customFormat="1" ht="30" customHeight="1" x14ac:dyDescent="0.2">
      <c r="B11" s="38">
        <v>45721</v>
      </c>
      <c r="C11" s="13" t="s">
        <v>12</v>
      </c>
      <c r="D11" s="61" t="s">
        <v>13</v>
      </c>
      <c r="E11" s="62"/>
      <c r="F11" s="13" t="s">
        <v>144</v>
      </c>
      <c r="I11" s="39"/>
    </row>
    <row r="12" spans="2:9" s="3" customFormat="1" ht="17.25" customHeight="1" x14ac:dyDescent="0.2">
      <c r="B12" s="13"/>
      <c r="C12" s="13"/>
      <c r="D12" s="80"/>
      <c r="E12" s="62"/>
      <c r="F12" s="13"/>
    </row>
    <row r="13" spans="2:9" s="3" customFormat="1" ht="17.25" customHeight="1" x14ac:dyDescent="0.2">
      <c r="B13" s="13"/>
      <c r="C13" s="13"/>
      <c r="D13" s="80"/>
      <c r="E13" s="62"/>
      <c r="F13" s="13"/>
    </row>
    <row r="14" spans="2:9" x14ac:dyDescent="0.2">
      <c r="B14" s="7"/>
      <c r="C14" s="7"/>
      <c r="D14" s="10"/>
      <c r="E14" s="10"/>
      <c r="F14" s="7"/>
    </row>
    <row r="15" spans="2:9" ht="15" x14ac:dyDescent="0.25">
      <c r="B15" s="6" t="s">
        <v>14</v>
      </c>
    </row>
    <row r="16" spans="2:9" ht="49.15" customHeight="1" x14ac:dyDescent="0.2">
      <c r="B16" s="67" t="s">
        <v>15</v>
      </c>
      <c r="C16" s="68"/>
      <c r="D16" s="68"/>
      <c r="E16" s="68"/>
      <c r="F16" s="69"/>
    </row>
    <row r="17" spans="2:6" x14ac:dyDescent="0.2">
      <c r="B17" s="7"/>
      <c r="C17" s="7"/>
      <c r="D17" s="10"/>
      <c r="E17" s="10"/>
      <c r="F17" s="7"/>
    </row>
    <row r="18" spans="2:6" x14ac:dyDescent="0.2">
      <c r="B18" s="7"/>
      <c r="C18" s="7"/>
      <c r="D18" s="7"/>
      <c r="E18" s="7"/>
      <c r="F18" s="7"/>
    </row>
    <row r="19" spans="2:6" ht="15" x14ac:dyDescent="0.25">
      <c r="B19" s="6" t="s">
        <v>16</v>
      </c>
    </row>
    <row r="20" spans="2:6" ht="182.25" customHeight="1" x14ac:dyDescent="0.2">
      <c r="B20" s="72"/>
      <c r="C20" s="73"/>
      <c r="D20" s="73"/>
      <c r="E20" s="73"/>
      <c r="F20" s="74"/>
    </row>
    <row r="21" spans="2:6" x14ac:dyDescent="0.2">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formula1>"Sim,Não"</formula1>
    </dataValidation>
    <dataValidation type="list" allowBlank="1" showInputMessage="1" showErrorMessage="1" sqref="C7:D7">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4">
    <tabColor theme="8"/>
  </sheetPr>
  <dimension ref="A1:R27"/>
  <sheetViews>
    <sheetView showGridLines="0" tabSelected="1" topLeftCell="B10" zoomScaleNormal="100" workbookViewId="0">
      <selection activeCell="D10" sqref="D10"/>
    </sheetView>
  </sheetViews>
  <sheetFormatPr defaultRowHeight="12.75" x14ac:dyDescent="0.2"/>
  <cols>
    <col min="1" max="1" width="64" customWidth="1"/>
    <col min="2" max="2" width="17.28515625" style="9" customWidth="1"/>
    <col min="3" max="3" width="16.7109375" style="1" customWidth="1"/>
    <col min="4" max="4" width="63.5703125" customWidth="1"/>
    <col min="5" max="5" width="37.7109375" customWidth="1"/>
    <col min="6" max="6" width="63.7109375" style="37" customWidth="1"/>
    <col min="7" max="7" width="24.7109375" customWidth="1"/>
    <col min="8" max="8" width="12.7109375" style="9" customWidth="1"/>
    <col min="9" max="9" width="30.140625" customWidth="1"/>
    <col min="10" max="10" width="29.28515625" style="9" customWidth="1"/>
    <col min="11" max="11" width="37" style="9" customWidth="1"/>
    <col min="12" max="12" width="18.7109375" style="9" customWidth="1"/>
    <col min="13" max="18" width="5" style="9" customWidth="1"/>
  </cols>
  <sheetData>
    <row r="1" spans="1:18" x14ac:dyDescent="0.2">
      <c r="B1" s="84" t="s">
        <v>18</v>
      </c>
      <c r="C1" s="84"/>
      <c r="D1" s="84"/>
      <c r="E1" s="84"/>
      <c r="F1" s="84"/>
      <c r="G1" s="84"/>
      <c r="H1" s="84"/>
    </row>
    <row r="2" spans="1:18" x14ac:dyDescent="0.2">
      <c r="B2" s="84"/>
      <c r="C2" s="84"/>
      <c r="D2" s="84"/>
      <c r="E2" s="84"/>
      <c r="F2" s="84"/>
      <c r="G2" s="84"/>
      <c r="H2" s="84"/>
      <c r="I2" s="85" t="s">
        <v>19</v>
      </c>
      <c r="J2" s="85"/>
      <c r="K2" s="86"/>
      <c r="L2" s="81" t="s">
        <v>20</v>
      </c>
      <c r="M2" s="82"/>
      <c r="N2" s="82"/>
      <c r="O2" s="82"/>
      <c r="P2" s="83"/>
      <c r="Q2" s="83"/>
      <c r="R2" s="83"/>
    </row>
    <row r="3" spans="1:18" ht="44.25" x14ac:dyDescent="0.2">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1" customFormat="1" ht="149.25" customHeight="1" x14ac:dyDescent="0.25">
      <c r="A4" s="59" t="s">
        <v>73</v>
      </c>
      <c r="B4" s="40" t="s">
        <v>60</v>
      </c>
      <c r="C4" s="42" t="s">
        <v>62</v>
      </c>
      <c r="D4" s="47" t="s">
        <v>75</v>
      </c>
      <c r="E4" s="42" t="s">
        <v>74</v>
      </c>
      <c r="F4" s="43" t="s">
        <v>63</v>
      </c>
      <c r="G4" s="40" t="s">
        <v>12</v>
      </c>
      <c r="H4" s="40" t="s">
        <v>39</v>
      </c>
      <c r="I4" s="40" t="s">
        <v>39</v>
      </c>
      <c r="J4" s="40" t="s">
        <v>39</v>
      </c>
      <c r="K4" s="42" t="s">
        <v>39</v>
      </c>
      <c r="L4" s="40"/>
      <c r="M4" s="40"/>
      <c r="N4" s="40"/>
      <c r="O4" s="40"/>
      <c r="P4" s="40"/>
      <c r="Q4" s="40"/>
      <c r="R4" s="40"/>
    </row>
    <row r="5" spans="1:18" s="41" customFormat="1" ht="176.25" customHeight="1" x14ac:dyDescent="0.25">
      <c r="A5" s="48" t="s">
        <v>76</v>
      </c>
      <c r="B5" s="40" t="s">
        <v>60</v>
      </c>
      <c r="C5" s="42" t="s">
        <v>82</v>
      </c>
      <c r="D5" s="47" t="s">
        <v>84</v>
      </c>
      <c r="E5" s="42" t="s">
        <v>80</v>
      </c>
      <c r="F5" s="43" t="s">
        <v>81</v>
      </c>
      <c r="G5" s="40" t="s">
        <v>12</v>
      </c>
      <c r="H5" s="40" t="s">
        <v>39</v>
      </c>
      <c r="I5" s="40" t="s">
        <v>39</v>
      </c>
      <c r="J5" s="40" t="s">
        <v>39</v>
      </c>
      <c r="K5" s="42" t="s">
        <v>39</v>
      </c>
      <c r="L5" s="40"/>
      <c r="M5" s="40"/>
      <c r="N5" s="40"/>
      <c r="O5" s="40"/>
      <c r="P5" s="40"/>
      <c r="Q5" s="40"/>
      <c r="R5" s="40"/>
    </row>
    <row r="6" spans="1:18" s="41" customFormat="1" ht="151.5" customHeight="1" x14ac:dyDescent="0.25">
      <c r="A6" s="58" t="s">
        <v>78</v>
      </c>
      <c r="B6" s="40" t="s">
        <v>60</v>
      </c>
      <c r="C6" s="42" t="s">
        <v>62</v>
      </c>
      <c r="D6" s="46" t="s">
        <v>150</v>
      </c>
      <c r="E6" s="42" t="s">
        <v>77</v>
      </c>
      <c r="F6" s="43" t="s">
        <v>64</v>
      </c>
      <c r="G6" s="40" t="s">
        <v>12</v>
      </c>
      <c r="H6" s="40" t="s">
        <v>39</v>
      </c>
      <c r="I6" s="40" t="s">
        <v>39</v>
      </c>
      <c r="J6" s="40" t="s">
        <v>39</v>
      </c>
      <c r="K6" s="42" t="s">
        <v>39</v>
      </c>
      <c r="L6" s="40"/>
      <c r="M6" s="40"/>
      <c r="N6" s="40"/>
      <c r="O6" s="40"/>
      <c r="P6" s="40"/>
      <c r="Q6" s="40"/>
      <c r="R6" s="40"/>
    </row>
    <row r="7" spans="1:18" s="41" customFormat="1" ht="135" customHeight="1" x14ac:dyDescent="0.25">
      <c r="A7" s="49" t="s">
        <v>79</v>
      </c>
      <c r="B7" s="40" t="s">
        <v>60</v>
      </c>
      <c r="C7" s="42" t="s">
        <v>82</v>
      </c>
      <c r="D7" s="46" t="s">
        <v>151</v>
      </c>
      <c r="E7" s="42" t="s">
        <v>77</v>
      </c>
      <c r="F7" s="43" t="s">
        <v>64</v>
      </c>
      <c r="G7" s="40" t="s">
        <v>12</v>
      </c>
      <c r="H7" s="40" t="s">
        <v>39</v>
      </c>
      <c r="I7" s="40" t="s">
        <v>39</v>
      </c>
      <c r="J7" s="40" t="s">
        <v>39</v>
      </c>
      <c r="K7" s="42" t="s">
        <v>39</v>
      </c>
      <c r="L7" s="40"/>
      <c r="M7" s="40"/>
      <c r="N7" s="40"/>
      <c r="O7" s="40"/>
      <c r="P7" s="40"/>
      <c r="Q7" s="40"/>
      <c r="R7" s="40"/>
    </row>
    <row r="8" spans="1:18" s="41" customFormat="1" ht="306.75" customHeight="1" x14ac:dyDescent="0.25">
      <c r="A8" s="49" t="s">
        <v>83</v>
      </c>
      <c r="B8" s="40" t="s">
        <v>60</v>
      </c>
      <c r="C8" s="42" t="s">
        <v>87</v>
      </c>
      <c r="D8" s="46" t="s">
        <v>90</v>
      </c>
      <c r="E8" s="42" t="s">
        <v>85</v>
      </c>
      <c r="F8" s="43" t="s">
        <v>65</v>
      </c>
      <c r="G8" s="40" t="s">
        <v>12</v>
      </c>
      <c r="H8" s="40" t="s">
        <v>39</v>
      </c>
      <c r="I8" s="40" t="s">
        <v>88</v>
      </c>
      <c r="J8" s="40" t="s">
        <v>60</v>
      </c>
      <c r="K8" s="42" t="s">
        <v>89</v>
      </c>
      <c r="L8" s="40"/>
      <c r="M8" s="40"/>
      <c r="N8" s="40"/>
      <c r="O8" s="40"/>
      <c r="P8" s="40"/>
      <c r="Q8" s="40"/>
      <c r="R8" s="40"/>
    </row>
    <row r="9" spans="1:18" s="41" customFormat="1" ht="130.15" customHeight="1" x14ac:dyDescent="0.25">
      <c r="A9" s="49" t="s">
        <v>67</v>
      </c>
      <c r="B9" s="40" t="s">
        <v>92</v>
      </c>
      <c r="C9" s="42" t="s">
        <v>145</v>
      </c>
      <c r="D9" s="46" t="s">
        <v>94</v>
      </c>
      <c r="E9" s="42" t="s">
        <v>86</v>
      </c>
      <c r="F9" s="43" t="s">
        <v>66</v>
      </c>
      <c r="G9" s="44" t="s">
        <v>12</v>
      </c>
      <c r="H9" s="44" t="s">
        <v>39</v>
      </c>
      <c r="I9" s="44" t="s">
        <v>39</v>
      </c>
      <c r="J9" s="44" t="s">
        <v>39</v>
      </c>
      <c r="K9" s="45" t="s">
        <v>39</v>
      </c>
      <c r="L9" s="40"/>
      <c r="M9" s="40"/>
      <c r="N9" s="40"/>
      <c r="O9" s="40"/>
      <c r="P9" s="40"/>
      <c r="Q9" s="40"/>
      <c r="R9" s="40"/>
    </row>
    <row r="10" spans="1:18" s="41" customFormat="1" ht="330" customHeight="1" x14ac:dyDescent="0.25">
      <c r="A10" s="49" t="s">
        <v>91</v>
      </c>
      <c r="B10" s="40" t="s">
        <v>92</v>
      </c>
      <c r="C10" s="42" t="s">
        <v>87</v>
      </c>
      <c r="D10" s="46" t="s">
        <v>163</v>
      </c>
      <c r="E10" s="42" t="s">
        <v>68</v>
      </c>
      <c r="F10" s="43" t="s">
        <v>69</v>
      </c>
      <c r="G10" s="40" t="s">
        <v>12</v>
      </c>
      <c r="H10" s="40" t="s">
        <v>39</v>
      </c>
      <c r="I10" s="42" t="s">
        <v>93</v>
      </c>
      <c r="J10" s="40" t="s">
        <v>60</v>
      </c>
      <c r="K10" s="42" t="s">
        <v>152</v>
      </c>
      <c r="L10" s="40"/>
      <c r="M10" s="40"/>
      <c r="N10" s="40"/>
      <c r="O10" s="40"/>
      <c r="P10" s="40"/>
      <c r="Q10" s="40"/>
      <c r="R10" s="40"/>
    </row>
    <row r="11" spans="1:18" s="41" customFormat="1" ht="280.5" customHeight="1" x14ac:dyDescent="0.25">
      <c r="A11" s="49" t="s">
        <v>96</v>
      </c>
      <c r="B11" s="40" t="s">
        <v>92</v>
      </c>
      <c r="C11" s="42" t="s">
        <v>87</v>
      </c>
      <c r="D11" s="46" t="s">
        <v>162</v>
      </c>
      <c r="E11" s="42" t="s">
        <v>95</v>
      </c>
      <c r="F11" s="43" t="s">
        <v>70</v>
      </c>
      <c r="G11" s="44" t="s">
        <v>12</v>
      </c>
      <c r="H11" s="44" t="s">
        <v>39</v>
      </c>
      <c r="I11" s="42" t="s">
        <v>97</v>
      </c>
      <c r="J11" s="40" t="s">
        <v>60</v>
      </c>
      <c r="K11" s="42" t="s">
        <v>98</v>
      </c>
      <c r="L11" s="40"/>
      <c r="M11" s="40"/>
      <c r="N11" s="40"/>
      <c r="O11" s="40"/>
      <c r="P11" s="40"/>
      <c r="Q11" s="40"/>
      <c r="R11" s="40"/>
    </row>
    <row r="12" spans="1:18" s="41" customFormat="1" ht="79.150000000000006" customHeight="1" x14ac:dyDescent="0.25">
      <c r="A12" s="49" t="s">
        <v>100</v>
      </c>
      <c r="B12" s="40" t="s">
        <v>60</v>
      </c>
      <c r="C12" s="42" t="s">
        <v>82</v>
      </c>
      <c r="D12" s="46" t="s">
        <v>101</v>
      </c>
      <c r="E12" s="42" t="s">
        <v>99</v>
      </c>
      <c r="F12" s="43" t="s">
        <v>71</v>
      </c>
      <c r="G12" s="44" t="s">
        <v>12</v>
      </c>
      <c r="H12" s="44" t="s">
        <v>39</v>
      </c>
      <c r="I12" s="44" t="s">
        <v>39</v>
      </c>
      <c r="J12" s="44" t="s">
        <v>39</v>
      </c>
      <c r="K12" s="45" t="s">
        <v>39</v>
      </c>
      <c r="L12" s="40"/>
      <c r="M12" s="40"/>
      <c r="N12" s="40"/>
      <c r="O12" s="40"/>
      <c r="P12" s="40"/>
      <c r="Q12" s="40"/>
      <c r="R12" s="40"/>
    </row>
    <row r="13" spans="1:18" s="41" customFormat="1" ht="82.15" customHeight="1" x14ac:dyDescent="0.25">
      <c r="A13" s="49" t="s">
        <v>104</v>
      </c>
      <c r="B13" s="40" t="s">
        <v>60</v>
      </c>
      <c r="C13" s="42" t="s">
        <v>145</v>
      </c>
      <c r="D13" s="46" t="s">
        <v>159</v>
      </c>
      <c r="E13" s="42" t="s">
        <v>99</v>
      </c>
      <c r="F13" s="43" t="s">
        <v>71</v>
      </c>
      <c r="G13" s="44" t="s">
        <v>12</v>
      </c>
      <c r="H13" s="44" t="s">
        <v>39</v>
      </c>
      <c r="I13" s="44" t="s">
        <v>39</v>
      </c>
      <c r="J13" s="44" t="s">
        <v>39</v>
      </c>
      <c r="K13" s="45" t="s">
        <v>39</v>
      </c>
      <c r="L13" s="40"/>
      <c r="M13" s="40"/>
      <c r="N13" s="40"/>
      <c r="O13" s="40"/>
      <c r="P13" s="40"/>
      <c r="Q13" s="40"/>
      <c r="R13" s="40"/>
    </row>
    <row r="14" spans="1:18" ht="113.45" customHeight="1" x14ac:dyDescent="0.2">
      <c r="A14" s="49" t="s">
        <v>102</v>
      </c>
      <c r="B14" s="40" t="s">
        <v>60</v>
      </c>
      <c r="C14" s="42" t="s">
        <v>82</v>
      </c>
      <c r="D14" s="46" t="s">
        <v>103</v>
      </c>
      <c r="E14" s="42" t="s">
        <v>99</v>
      </c>
      <c r="F14" s="43" t="s">
        <v>71</v>
      </c>
      <c r="G14" s="44" t="s">
        <v>12</v>
      </c>
      <c r="H14" s="44" t="s">
        <v>39</v>
      </c>
      <c r="I14" s="44" t="s">
        <v>39</v>
      </c>
      <c r="J14" s="44" t="s">
        <v>39</v>
      </c>
      <c r="K14" s="45" t="s">
        <v>39</v>
      </c>
      <c r="L14" s="40"/>
      <c r="M14" s="40"/>
      <c r="N14" s="40"/>
      <c r="O14" s="40"/>
      <c r="P14" s="40"/>
      <c r="Q14" s="40"/>
      <c r="R14" s="40"/>
    </row>
    <row r="15" spans="1:18" ht="75" x14ac:dyDescent="0.2">
      <c r="A15" s="49" t="s">
        <v>105</v>
      </c>
      <c r="B15" s="40" t="s">
        <v>60</v>
      </c>
      <c r="C15" s="42" t="s">
        <v>145</v>
      </c>
      <c r="D15" s="46" t="s">
        <v>106</v>
      </c>
      <c r="E15" s="42" t="s">
        <v>99</v>
      </c>
      <c r="F15" s="43" t="s">
        <v>71</v>
      </c>
      <c r="G15" s="44" t="s">
        <v>12</v>
      </c>
      <c r="H15" s="44" t="s">
        <v>39</v>
      </c>
      <c r="I15" s="44" t="s">
        <v>39</v>
      </c>
      <c r="J15" s="44" t="s">
        <v>39</v>
      </c>
      <c r="K15" s="45" t="s">
        <v>39</v>
      </c>
      <c r="L15" s="40"/>
      <c r="M15" s="40"/>
      <c r="N15" s="40"/>
      <c r="O15" s="40"/>
      <c r="P15" s="40"/>
      <c r="Q15" s="40"/>
      <c r="R15" s="40"/>
    </row>
    <row r="16" spans="1:18" ht="225" x14ac:dyDescent="0.2">
      <c r="A16" s="49" t="s">
        <v>146</v>
      </c>
      <c r="B16" s="40" t="s">
        <v>60</v>
      </c>
      <c r="C16" s="42" t="s">
        <v>87</v>
      </c>
      <c r="D16" s="46" t="s">
        <v>153</v>
      </c>
      <c r="E16" s="42" t="s">
        <v>107</v>
      </c>
      <c r="F16" s="43" t="s">
        <v>72</v>
      </c>
      <c r="G16" s="44" t="s">
        <v>12</v>
      </c>
      <c r="H16" s="44" t="s">
        <v>39</v>
      </c>
      <c r="I16" s="44" t="s">
        <v>109</v>
      </c>
      <c r="J16" s="44" t="s">
        <v>60</v>
      </c>
      <c r="K16" s="45" t="s">
        <v>108</v>
      </c>
      <c r="L16" s="40"/>
      <c r="M16" s="40"/>
      <c r="N16" s="40"/>
      <c r="O16" s="40"/>
      <c r="P16" s="40"/>
      <c r="Q16" s="40"/>
      <c r="R16" s="40"/>
    </row>
    <row r="17" spans="1:18" ht="135" x14ac:dyDescent="0.2">
      <c r="A17" s="40" t="s">
        <v>110</v>
      </c>
      <c r="B17" s="40" t="s">
        <v>60</v>
      </c>
      <c r="C17" s="42" t="s">
        <v>145</v>
      </c>
      <c r="D17" s="46" t="s">
        <v>112</v>
      </c>
      <c r="E17" s="42" t="s">
        <v>113</v>
      </c>
      <c r="F17" s="43" t="s">
        <v>114</v>
      </c>
      <c r="G17" s="40" t="s">
        <v>12</v>
      </c>
      <c r="H17" s="40" t="s">
        <v>39</v>
      </c>
      <c r="I17" s="51" t="s">
        <v>39</v>
      </c>
      <c r="J17" s="40" t="s">
        <v>39</v>
      </c>
      <c r="K17" s="51" t="s">
        <v>39</v>
      </c>
      <c r="L17" s="52"/>
      <c r="M17" s="52"/>
      <c r="N17" s="52"/>
      <c r="O17" s="52"/>
      <c r="P17" s="52"/>
      <c r="Q17" s="52"/>
      <c r="R17" s="52"/>
    </row>
    <row r="18" spans="1:18" ht="105" x14ac:dyDescent="0.2">
      <c r="A18" s="40" t="s">
        <v>115</v>
      </c>
      <c r="B18" s="40" t="s">
        <v>60</v>
      </c>
      <c r="C18" s="42" t="s">
        <v>145</v>
      </c>
      <c r="D18" s="46" t="s">
        <v>116</v>
      </c>
      <c r="E18" s="42" t="s">
        <v>117</v>
      </c>
      <c r="F18" s="43" t="s">
        <v>118</v>
      </c>
      <c r="G18" s="44" t="s">
        <v>12</v>
      </c>
      <c r="H18" s="44" t="s">
        <v>39</v>
      </c>
      <c r="I18" s="50" t="s">
        <v>39</v>
      </c>
      <c r="J18" s="44" t="s">
        <v>39</v>
      </c>
      <c r="K18" s="50" t="s">
        <v>39</v>
      </c>
      <c r="L18" s="52"/>
      <c r="M18" s="52"/>
      <c r="N18" s="52"/>
      <c r="O18" s="52"/>
      <c r="P18" s="52"/>
      <c r="Q18" s="52"/>
      <c r="R18" s="52"/>
    </row>
    <row r="19" spans="1:18" ht="75" x14ac:dyDescent="0.2">
      <c r="A19" s="40" t="s">
        <v>160</v>
      </c>
      <c r="B19" s="40" t="s">
        <v>92</v>
      </c>
      <c r="C19" s="42" t="s">
        <v>145</v>
      </c>
      <c r="D19" s="46" t="s">
        <v>119</v>
      </c>
      <c r="E19" s="42" t="s">
        <v>120</v>
      </c>
      <c r="F19" s="43" t="s">
        <v>121</v>
      </c>
      <c r="G19" s="40" t="s">
        <v>12</v>
      </c>
      <c r="H19" s="40" t="s">
        <v>39</v>
      </c>
      <c r="I19" s="51" t="s">
        <v>39</v>
      </c>
      <c r="J19" s="40" t="s">
        <v>39</v>
      </c>
      <c r="K19" s="51" t="s">
        <v>39</v>
      </c>
      <c r="L19" s="52"/>
      <c r="M19" s="52"/>
      <c r="N19" s="52"/>
      <c r="O19" s="52"/>
      <c r="P19" s="52"/>
      <c r="Q19" s="52"/>
      <c r="R19" s="52"/>
    </row>
    <row r="20" spans="1:18" ht="357.75" customHeight="1" x14ac:dyDescent="0.2">
      <c r="A20" s="40" t="s">
        <v>122</v>
      </c>
      <c r="B20" s="40" t="s">
        <v>92</v>
      </c>
      <c r="C20" s="42" t="s">
        <v>62</v>
      </c>
      <c r="D20" s="46" t="s">
        <v>123</v>
      </c>
      <c r="E20" s="42" t="s">
        <v>124</v>
      </c>
      <c r="F20" s="43" t="s">
        <v>125</v>
      </c>
      <c r="G20" s="40" t="s">
        <v>12</v>
      </c>
      <c r="H20" s="40" t="s">
        <v>39</v>
      </c>
      <c r="I20" s="51" t="s">
        <v>39</v>
      </c>
      <c r="J20" s="40" t="s">
        <v>39</v>
      </c>
      <c r="K20" s="51" t="s">
        <v>39</v>
      </c>
      <c r="L20" s="52"/>
      <c r="M20" s="52"/>
      <c r="N20" s="52"/>
      <c r="O20" s="52"/>
      <c r="P20" s="52"/>
      <c r="Q20" s="52"/>
      <c r="R20" s="52"/>
    </row>
    <row r="21" spans="1:18" ht="409.5" x14ac:dyDescent="0.2">
      <c r="A21" s="40" t="s">
        <v>126</v>
      </c>
      <c r="B21" s="40" t="s">
        <v>92</v>
      </c>
      <c r="C21" s="42" t="s">
        <v>62</v>
      </c>
      <c r="D21" s="46" t="s">
        <v>127</v>
      </c>
      <c r="E21" s="42" t="s">
        <v>128</v>
      </c>
      <c r="F21" s="43" t="s">
        <v>129</v>
      </c>
      <c r="G21" s="40" t="s">
        <v>12</v>
      </c>
      <c r="H21" s="40" t="s">
        <v>39</v>
      </c>
      <c r="I21" s="51" t="s">
        <v>39</v>
      </c>
      <c r="J21" s="40" t="s">
        <v>39</v>
      </c>
      <c r="K21" s="51" t="s">
        <v>39</v>
      </c>
      <c r="L21" s="52"/>
      <c r="M21" s="52"/>
      <c r="N21" s="52"/>
      <c r="O21" s="52"/>
      <c r="P21" s="52"/>
      <c r="Q21" s="52"/>
      <c r="R21" s="52"/>
    </row>
    <row r="22" spans="1:18" ht="105" x14ac:dyDescent="0.2">
      <c r="A22" s="40" t="s">
        <v>147</v>
      </c>
      <c r="B22" s="40" t="s">
        <v>60</v>
      </c>
      <c r="C22" s="42" t="s">
        <v>62</v>
      </c>
      <c r="D22" s="46" t="s">
        <v>154</v>
      </c>
      <c r="E22" s="42" t="s">
        <v>130</v>
      </c>
      <c r="F22" s="43" t="s">
        <v>131</v>
      </c>
      <c r="G22" s="40" t="s">
        <v>12</v>
      </c>
      <c r="H22" s="40" t="s">
        <v>39</v>
      </c>
      <c r="I22" s="51" t="s">
        <v>39</v>
      </c>
      <c r="J22" s="40" t="s">
        <v>39</v>
      </c>
      <c r="K22" s="51" t="s">
        <v>39</v>
      </c>
      <c r="L22" s="52"/>
      <c r="M22" s="52"/>
      <c r="N22" s="52"/>
      <c r="O22" s="52"/>
      <c r="P22" s="52"/>
      <c r="Q22" s="52"/>
      <c r="R22" s="52"/>
    </row>
    <row r="23" spans="1:18" ht="90" x14ac:dyDescent="0.2">
      <c r="A23" s="40" t="s">
        <v>132</v>
      </c>
      <c r="B23" s="40" t="s">
        <v>60</v>
      </c>
      <c r="C23" s="42" t="s">
        <v>111</v>
      </c>
      <c r="D23" s="46" t="s">
        <v>155</v>
      </c>
      <c r="E23" s="42" t="s">
        <v>130</v>
      </c>
      <c r="F23" s="43" t="s">
        <v>131</v>
      </c>
      <c r="G23" s="40" t="s">
        <v>12</v>
      </c>
      <c r="H23" s="40" t="s">
        <v>39</v>
      </c>
      <c r="I23" s="51" t="s">
        <v>39</v>
      </c>
      <c r="J23" s="40" t="s">
        <v>39</v>
      </c>
      <c r="K23" s="51" t="s">
        <v>39</v>
      </c>
      <c r="L23" s="52"/>
      <c r="M23" s="52"/>
      <c r="N23" s="52"/>
      <c r="O23" s="52"/>
      <c r="P23" s="52"/>
      <c r="Q23" s="52"/>
      <c r="R23" s="52"/>
    </row>
    <row r="24" spans="1:18" ht="120" x14ac:dyDescent="0.2">
      <c r="A24" s="40" t="s">
        <v>133</v>
      </c>
      <c r="B24" s="40" t="s">
        <v>60</v>
      </c>
      <c r="C24" s="42" t="s">
        <v>145</v>
      </c>
      <c r="D24" s="46" t="s">
        <v>156</v>
      </c>
      <c r="E24" s="42" t="s">
        <v>134</v>
      </c>
      <c r="F24" s="43" t="s">
        <v>135</v>
      </c>
      <c r="G24" s="40" t="s">
        <v>12</v>
      </c>
      <c r="H24" s="40" t="s">
        <v>39</v>
      </c>
      <c r="I24" s="51" t="s">
        <v>39</v>
      </c>
      <c r="J24" s="40" t="s">
        <v>39</v>
      </c>
      <c r="K24" s="51" t="s">
        <v>39</v>
      </c>
      <c r="L24" s="52"/>
      <c r="M24" s="52"/>
      <c r="N24" s="52"/>
      <c r="O24" s="52"/>
      <c r="P24" s="52"/>
      <c r="Q24" s="52"/>
      <c r="R24" s="52"/>
    </row>
    <row r="25" spans="1:18" ht="409.5" x14ac:dyDescent="0.2">
      <c r="A25" s="42" t="s">
        <v>148</v>
      </c>
      <c r="B25" s="40" t="s">
        <v>60</v>
      </c>
      <c r="C25" s="42" t="s">
        <v>62</v>
      </c>
      <c r="D25" s="46" t="s">
        <v>136</v>
      </c>
      <c r="E25" s="42" t="s">
        <v>137</v>
      </c>
      <c r="F25" s="43" t="s">
        <v>138</v>
      </c>
      <c r="G25" s="40" t="s">
        <v>12</v>
      </c>
      <c r="H25" s="40" t="s">
        <v>39</v>
      </c>
      <c r="I25" s="51" t="s">
        <v>139</v>
      </c>
      <c r="J25" s="40" t="s">
        <v>39</v>
      </c>
      <c r="K25" s="51" t="s">
        <v>39</v>
      </c>
      <c r="L25" s="52"/>
      <c r="M25" s="52"/>
      <c r="N25" s="52"/>
      <c r="O25" s="52"/>
      <c r="P25" s="52"/>
      <c r="Q25" s="52"/>
      <c r="R25" s="52"/>
    </row>
    <row r="26" spans="1:18" ht="165.75" customHeight="1" x14ac:dyDescent="0.2">
      <c r="A26" s="42" t="s">
        <v>157</v>
      </c>
      <c r="B26" s="40" t="s">
        <v>60</v>
      </c>
      <c r="C26" s="42" t="s">
        <v>145</v>
      </c>
      <c r="D26" s="60" t="s">
        <v>161</v>
      </c>
      <c r="E26" s="42" t="s">
        <v>140</v>
      </c>
      <c r="F26" s="43" t="s">
        <v>141</v>
      </c>
      <c r="G26" s="40" t="s">
        <v>12</v>
      </c>
      <c r="H26" s="40" t="s">
        <v>39</v>
      </c>
      <c r="I26" s="51" t="s">
        <v>39</v>
      </c>
      <c r="J26" s="40" t="s">
        <v>39</v>
      </c>
      <c r="K26" s="51" t="s">
        <v>39</v>
      </c>
      <c r="L26" s="52"/>
      <c r="M26" s="52"/>
      <c r="N26" s="52"/>
      <c r="O26" s="52"/>
      <c r="P26" s="52"/>
      <c r="Q26" s="52"/>
      <c r="R26" s="52"/>
    </row>
    <row r="27" spans="1:18" ht="144.75" customHeight="1" x14ac:dyDescent="0.2">
      <c r="A27" s="53" t="s">
        <v>149</v>
      </c>
      <c r="B27" s="53" t="s">
        <v>60</v>
      </c>
      <c r="C27" s="42" t="s">
        <v>62</v>
      </c>
      <c r="D27" s="54" t="s">
        <v>158</v>
      </c>
      <c r="E27" s="42" t="s">
        <v>142</v>
      </c>
      <c r="F27" s="55" t="s">
        <v>143</v>
      </c>
      <c r="G27" s="53" t="s">
        <v>12</v>
      </c>
      <c r="H27" s="53" t="s">
        <v>39</v>
      </c>
      <c r="I27" s="56" t="s">
        <v>39</v>
      </c>
      <c r="J27" s="53" t="s">
        <v>39</v>
      </c>
      <c r="K27" s="56" t="s">
        <v>39</v>
      </c>
      <c r="L27" s="57"/>
      <c r="M27" s="57"/>
      <c r="N27" s="57"/>
      <c r="O27" s="57"/>
      <c r="P27" s="57"/>
      <c r="Q27" s="57"/>
      <c r="R27" s="57"/>
    </row>
  </sheetData>
  <mergeCells count="3">
    <mergeCell ref="L2:R2"/>
    <mergeCell ref="B1:H2"/>
    <mergeCell ref="I2:K2"/>
  </mergeCells>
  <phoneticPr fontId="3" type="noConversion"/>
  <dataValidations count="2">
    <dataValidation type="list" allowBlank="1" showInputMessage="1" showErrorMessage="1" sqref="H4:H27 J4:J27">
      <formula1>"I,A,E,N/A"</formula1>
    </dataValidation>
    <dataValidation type="list" allowBlank="1" showInputMessage="1" showErrorMessage="1" sqref="B4:B27">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
  <cols>
    <col min="1" max="1" width="42.7109375" customWidth="1"/>
    <col min="2" max="2" width="61" customWidth="1"/>
    <col min="3" max="3" width="61.28515625" customWidth="1"/>
    <col min="4" max="4" width="21.5703125" customWidth="1"/>
    <col min="5" max="5" width="15.85546875" customWidth="1"/>
    <col min="6" max="10" width="4.85546875" customWidth="1"/>
  </cols>
  <sheetData>
    <row r="1" spans="1:10" s="3" customFormat="1" ht="16.5" customHeight="1" x14ac:dyDescent="0.2">
      <c r="B1" s="84" t="s">
        <v>40</v>
      </c>
      <c r="C1" s="84"/>
      <c r="D1" s="84"/>
      <c r="E1" s="84"/>
    </row>
    <row r="2" spans="1:10" s="3" customFormat="1" ht="27" customHeight="1" thickBot="1" x14ac:dyDescent="0.25">
      <c r="A2" s="2"/>
      <c r="B2" s="84"/>
      <c r="C2" s="84"/>
      <c r="D2" s="84"/>
      <c r="E2" s="84"/>
      <c r="F2" s="87" t="s">
        <v>41</v>
      </c>
      <c r="G2" s="87"/>
      <c r="H2" s="87"/>
      <c r="I2" s="87"/>
      <c r="J2" s="87"/>
    </row>
    <row r="3" spans="1:10" ht="60" customHeight="1" thickBot="1" x14ac:dyDescent="0.25">
      <c r="A3" s="29" t="s">
        <v>42</v>
      </c>
      <c r="B3" s="30" t="s">
        <v>25</v>
      </c>
      <c r="C3" s="30" t="s">
        <v>43</v>
      </c>
      <c r="D3" s="30" t="s">
        <v>27</v>
      </c>
      <c r="E3" s="30" t="s">
        <v>28</v>
      </c>
      <c r="F3" s="31">
        <v>123456789</v>
      </c>
      <c r="G3" s="31"/>
      <c r="H3" s="31"/>
      <c r="I3" s="31"/>
      <c r="J3" s="32"/>
    </row>
    <row r="4" spans="1:10" ht="19.5" customHeight="1" thickTop="1" x14ac:dyDescent="0.2">
      <c r="A4" s="88" t="s">
        <v>44</v>
      </c>
      <c r="B4" s="33"/>
      <c r="C4" s="33"/>
      <c r="D4" s="25"/>
      <c r="E4" s="34"/>
      <c r="F4" s="34"/>
      <c r="G4" s="34"/>
      <c r="H4" s="25"/>
      <c r="I4" s="34"/>
      <c r="J4" s="25"/>
    </row>
    <row r="5" spans="1:10" ht="19.5" customHeight="1" x14ac:dyDescent="0.2">
      <c r="A5" s="89"/>
      <c r="B5" s="27"/>
      <c r="C5" s="27"/>
      <c r="D5" s="26"/>
      <c r="E5" s="28"/>
      <c r="F5" s="28"/>
      <c r="G5" s="28"/>
      <c r="H5" s="26"/>
      <c r="I5" s="28"/>
      <c r="J5" s="26"/>
    </row>
    <row r="6" spans="1:10" ht="19.5" customHeight="1" x14ac:dyDescent="0.2">
      <c r="A6" s="89"/>
      <c r="B6" s="27"/>
      <c r="C6" s="27"/>
      <c r="D6" s="26"/>
      <c r="E6" s="28"/>
      <c r="F6" s="28"/>
      <c r="G6" s="28"/>
      <c r="H6" s="26"/>
      <c r="I6" s="28"/>
      <c r="J6" s="26"/>
    </row>
    <row r="7" spans="1:10" ht="19.5" customHeight="1" x14ac:dyDescent="0.2">
      <c r="A7" s="89" t="s">
        <v>45</v>
      </c>
      <c r="B7" s="27"/>
      <c r="C7" s="27"/>
      <c r="D7" s="26"/>
      <c r="E7" s="28"/>
      <c r="F7" s="28"/>
      <c r="G7" s="28"/>
      <c r="H7" s="26"/>
      <c r="I7" s="28"/>
      <c r="J7" s="26"/>
    </row>
    <row r="8" spans="1:10" ht="19.5" customHeight="1" x14ac:dyDescent="0.2">
      <c r="A8" s="89"/>
      <c r="B8" s="27"/>
      <c r="C8" s="27"/>
      <c r="D8" s="26"/>
      <c r="E8" s="28"/>
      <c r="F8" s="28"/>
      <c r="G8" s="28"/>
      <c r="H8" s="26"/>
      <c r="I8" s="28"/>
      <c r="J8" s="26"/>
    </row>
    <row r="9" spans="1:10" ht="19.5" customHeight="1" x14ac:dyDescent="0.2">
      <c r="A9" s="89"/>
      <c r="B9" s="27"/>
      <c r="C9" s="27"/>
      <c r="D9" s="26"/>
      <c r="E9" s="28"/>
      <c r="F9" s="28"/>
      <c r="G9" s="28"/>
      <c r="H9" s="26"/>
      <c r="I9" s="28"/>
      <c r="J9" s="26"/>
    </row>
    <row r="10" spans="1:10" ht="19.5" customHeight="1" x14ac:dyDescent="0.2">
      <c r="A10" s="89" t="s">
        <v>46</v>
      </c>
      <c r="B10" s="27"/>
      <c r="C10" s="27"/>
      <c r="D10" s="26"/>
      <c r="E10" s="28"/>
      <c r="F10" s="28"/>
      <c r="G10" s="28"/>
      <c r="H10" s="26"/>
      <c r="I10" s="28"/>
      <c r="J10" s="26"/>
    </row>
    <row r="11" spans="1:10" ht="19.5" customHeight="1" x14ac:dyDescent="0.2">
      <c r="A11" s="89"/>
      <c r="B11" s="27"/>
      <c r="C11" s="27"/>
      <c r="D11" s="26"/>
      <c r="E11" s="28"/>
      <c r="F11" s="28"/>
      <c r="G11" s="28"/>
      <c r="H11" s="26"/>
      <c r="I11" s="28"/>
      <c r="J11" s="26"/>
    </row>
    <row r="12" spans="1:10" ht="19.5" customHeight="1" x14ac:dyDescent="0.2">
      <c r="A12" s="89"/>
      <c r="B12" s="27"/>
      <c r="C12" s="27"/>
      <c r="D12" s="26"/>
      <c r="E12" s="28"/>
      <c r="F12" s="28"/>
      <c r="G12" s="28"/>
      <c r="H12" s="26"/>
      <c r="I12" s="28"/>
      <c r="J12" s="26"/>
    </row>
    <row r="13" spans="1:10" ht="19.5" customHeight="1" x14ac:dyDescent="0.2">
      <c r="A13" s="89" t="s">
        <v>47</v>
      </c>
      <c r="B13" s="27"/>
      <c r="C13" s="27"/>
      <c r="D13" s="26"/>
      <c r="E13" s="28"/>
      <c r="F13" s="28"/>
      <c r="G13" s="28"/>
      <c r="H13" s="26"/>
      <c r="I13" s="28"/>
      <c r="J13" s="26"/>
    </row>
    <row r="14" spans="1:10" ht="19.5" customHeight="1" x14ac:dyDescent="0.2">
      <c r="A14" s="89"/>
      <c r="B14" s="27"/>
      <c r="C14" s="27"/>
      <c r="D14" s="26"/>
      <c r="E14" s="28"/>
      <c r="F14" s="28"/>
      <c r="G14" s="28"/>
      <c r="H14" s="26"/>
      <c r="I14" s="28"/>
      <c r="J14" s="26"/>
    </row>
    <row r="15" spans="1:10" ht="19.5" customHeight="1" x14ac:dyDescent="0.2">
      <c r="A15" s="89"/>
      <c r="B15" s="27"/>
      <c r="C15" s="27"/>
      <c r="D15" s="26"/>
      <c r="E15" s="28"/>
      <c r="F15" s="28"/>
      <c r="G15" s="28"/>
      <c r="H15" s="26"/>
      <c r="I15" s="28"/>
      <c r="J15" s="26"/>
    </row>
    <row r="16" spans="1:10" ht="19.5" customHeight="1" x14ac:dyDescent="0.2">
      <c r="A16" s="89" t="s">
        <v>48</v>
      </c>
      <c r="B16" s="27"/>
      <c r="C16" s="27"/>
      <c r="D16" s="26"/>
      <c r="E16" s="28"/>
      <c r="F16" s="28"/>
      <c r="G16" s="28"/>
      <c r="H16" s="26"/>
      <c r="I16" s="28"/>
      <c r="J16" s="26"/>
    </row>
    <row r="17" spans="1:10" ht="19.5" customHeight="1" x14ac:dyDescent="0.2">
      <c r="A17" s="89"/>
      <c r="B17" s="27"/>
      <c r="C17" s="27"/>
      <c r="D17" s="26"/>
      <c r="E17" s="28"/>
      <c r="F17" s="28"/>
      <c r="G17" s="28"/>
      <c r="H17" s="26"/>
      <c r="I17" s="28"/>
      <c r="J17" s="26"/>
    </row>
    <row r="18" spans="1:10" ht="19.5" customHeight="1" x14ac:dyDescent="0.2">
      <c r="A18" s="89"/>
      <c r="B18" s="27"/>
      <c r="C18" s="27"/>
      <c r="D18" s="26"/>
      <c r="E18" s="28"/>
      <c r="F18" s="28"/>
      <c r="G18" s="28"/>
      <c r="H18" s="26"/>
      <c r="I18" s="28"/>
      <c r="J18" s="26"/>
    </row>
    <row r="19" spans="1:10" ht="19.5" customHeight="1" x14ac:dyDescent="0.2">
      <c r="A19" s="89" t="s">
        <v>49</v>
      </c>
      <c r="B19" s="27"/>
      <c r="C19" s="27"/>
      <c r="D19" s="26"/>
      <c r="E19" s="28"/>
      <c r="F19" s="28"/>
      <c r="G19" s="28"/>
      <c r="H19" s="26"/>
      <c r="I19" s="28"/>
      <c r="J19" s="26"/>
    </row>
    <row r="20" spans="1:10" ht="19.5" customHeight="1" x14ac:dyDescent="0.2">
      <c r="A20" s="89"/>
      <c r="B20" s="27"/>
      <c r="C20" s="27"/>
      <c r="D20" s="26"/>
      <c r="E20" s="28"/>
      <c r="F20" s="28"/>
      <c r="G20" s="28"/>
      <c r="H20" s="26"/>
      <c r="I20" s="28"/>
      <c r="J20" s="26"/>
    </row>
    <row r="21" spans="1:10" ht="19.5" customHeight="1" x14ac:dyDescent="0.2">
      <c r="A21" s="89"/>
      <c r="B21" s="27"/>
      <c r="C21" s="27"/>
      <c r="D21" s="26"/>
      <c r="E21" s="28"/>
      <c r="F21" s="28"/>
      <c r="G21" s="28"/>
      <c r="H21" s="26"/>
      <c r="I21" s="28"/>
      <c r="J21" s="26"/>
    </row>
    <row r="22" spans="1:10" ht="19.5" customHeight="1" x14ac:dyDescent="0.2">
      <c r="A22" s="89" t="s">
        <v>50</v>
      </c>
      <c r="B22" s="27"/>
      <c r="C22" s="27"/>
      <c r="D22" s="26"/>
      <c r="E22" s="28"/>
      <c r="F22" s="28"/>
      <c r="G22" s="28"/>
      <c r="H22" s="26"/>
      <c r="I22" s="28"/>
      <c r="J22" s="26"/>
    </row>
    <row r="23" spans="1:10" ht="19.5" customHeight="1" x14ac:dyDescent="0.2">
      <c r="A23" s="89"/>
      <c r="B23" s="27"/>
      <c r="C23" s="27"/>
      <c r="D23" s="26"/>
      <c r="E23" s="28"/>
      <c r="F23" s="28"/>
      <c r="G23" s="28"/>
      <c r="H23" s="26"/>
      <c r="I23" s="28"/>
      <c r="J23" s="26"/>
    </row>
    <row r="24" spans="1:10" ht="19.5" customHeight="1" x14ac:dyDescent="0.2">
      <c r="A24" s="89"/>
      <c r="B24" s="27"/>
      <c r="C24" s="27"/>
      <c r="D24" s="26"/>
      <c r="E24" s="28"/>
      <c r="F24" s="28"/>
      <c r="G24" s="28"/>
      <c r="H24" s="26"/>
      <c r="I24" s="28"/>
      <c r="J24" s="26"/>
    </row>
    <row r="25" spans="1:10" ht="19.5" customHeight="1" x14ac:dyDescent="0.2">
      <c r="A25" s="89"/>
      <c r="B25" s="27"/>
      <c r="C25" s="27"/>
      <c r="D25" s="26"/>
      <c r="E25" s="28"/>
      <c r="F25" s="28"/>
      <c r="G25" s="28"/>
      <c r="H25" s="26"/>
      <c r="I25" s="28"/>
      <c r="J25" s="26"/>
    </row>
    <row r="26" spans="1:10" ht="19.5" customHeight="1" x14ac:dyDescent="0.2">
      <c r="A26" s="89" t="s">
        <v>51</v>
      </c>
      <c r="B26" s="27"/>
      <c r="C26" s="27"/>
      <c r="D26" s="26"/>
      <c r="E26" s="28"/>
      <c r="F26" s="28"/>
      <c r="G26" s="28"/>
      <c r="H26" s="26"/>
      <c r="I26" s="28"/>
      <c r="J26" s="26"/>
    </row>
    <row r="27" spans="1:10" ht="19.5" customHeight="1" x14ac:dyDescent="0.2">
      <c r="A27" s="89"/>
      <c r="B27" s="27"/>
      <c r="C27" s="27"/>
      <c r="D27" s="26"/>
      <c r="E27" s="28"/>
      <c r="F27" s="28"/>
      <c r="G27" s="28"/>
      <c r="H27" s="26"/>
      <c r="I27" s="28"/>
      <c r="J27" s="26"/>
    </row>
    <row r="28" spans="1:10" ht="19.5" customHeight="1" x14ac:dyDescent="0.2">
      <c r="A28" s="89"/>
      <c r="B28" s="27"/>
      <c r="C28" s="27"/>
      <c r="D28" s="26"/>
      <c r="E28" s="28"/>
      <c r="F28" s="28"/>
      <c r="G28" s="28"/>
      <c r="H28" s="26"/>
      <c r="I28" s="28"/>
      <c r="J28" s="26"/>
    </row>
  </sheetData>
  <mergeCells count="10">
    <mergeCell ref="A13:A15"/>
    <mergeCell ref="A16:A18"/>
    <mergeCell ref="A19:A21"/>
    <mergeCell ref="A22:A25"/>
    <mergeCell ref="A26:A28"/>
    <mergeCell ref="F2:J2"/>
    <mergeCell ref="B1:E2"/>
    <mergeCell ref="A4:A6"/>
    <mergeCell ref="A7:A9"/>
    <mergeCell ref="A10:A12"/>
  </mergeCells>
  <phoneticPr fontId="3" type="noConversion"/>
  <dataValidations count="1">
    <dataValidation type="list" allowBlank="1" showInputMessage="1" showErrorMessage="1" sqref="E4:E28">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B2:F11"/>
  <sheetViews>
    <sheetView showGridLines="0" zoomScaleNormal="100" workbookViewId="0">
      <selection activeCell="D18" sqref="D18"/>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6" ht="24.75" customHeight="1" x14ac:dyDescent="0.2">
      <c r="B2" s="63"/>
      <c r="C2" s="64"/>
      <c r="D2" s="75" t="s">
        <v>0</v>
      </c>
      <c r="E2" s="76"/>
      <c r="F2" s="4" t="s">
        <v>1</v>
      </c>
    </row>
    <row r="3" spans="2:6" ht="24.75" customHeight="1" x14ac:dyDescent="0.2">
      <c r="B3" s="65"/>
      <c r="C3" s="66"/>
      <c r="D3" s="77"/>
      <c r="E3" s="78"/>
      <c r="F3" s="5">
        <f ca="1">NOW()</f>
        <v>45728.460619212965</v>
      </c>
    </row>
    <row r="4" spans="2:6" ht="27" customHeight="1" x14ac:dyDescent="0.2">
      <c r="B4" s="9"/>
      <c r="C4" s="9"/>
      <c r="D4" s="17"/>
      <c r="E4" s="17"/>
      <c r="F4" s="18"/>
    </row>
    <row r="6" spans="2:6" ht="15" x14ac:dyDescent="0.25">
      <c r="B6" s="92" t="s">
        <v>52</v>
      </c>
      <c r="C6" s="92"/>
      <c r="D6" s="92"/>
      <c r="E6" s="92"/>
      <c r="F6" s="92"/>
    </row>
    <row r="7" spans="2:6" ht="8.25" customHeight="1" x14ac:dyDescent="0.25">
      <c r="B7" s="16"/>
      <c r="C7" s="16"/>
      <c r="D7" s="16"/>
      <c r="E7" s="16"/>
      <c r="F7" s="16"/>
    </row>
    <row r="8" spans="2:6" s="3" customFormat="1" ht="17.25" customHeight="1" x14ac:dyDescent="0.2">
      <c r="B8" s="13" t="s">
        <v>8</v>
      </c>
      <c r="C8" s="13" t="s">
        <v>9</v>
      </c>
      <c r="D8" s="79" t="s">
        <v>10</v>
      </c>
      <c r="E8" s="79"/>
      <c r="F8" s="13" t="s">
        <v>11</v>
      </c>
    </row>
    <row r="9" spans="2:6" s="3" customFormat="1" ht="29.25" customHeight="1" x14ac:dyDescent="0.2">
      <c r="B9" s="15">
        <v>44552</v>
      </c>
      <c r="C9" s="14" t="s">
        <v>53</v>
      </c>
      <c r="D9" s="93" t="s">
        <v>54</v>
      </c>
      <c r="E9" s="94"/>
      <c r="F9" s="14" t="s">
        <v>55</v>
      </c>
    </row>
    <row r="10" spans="2:6" s="3" customFormat="1" ht="17.25" customHeight="1" x14ac:dyDescent="0.2">
      <c r="B10" s="35">
        <v>44635</v>
      </c>
      <c r="C10" s="36" t="s">
        <v>56</v>
      </c>
      <c r="D10" s="90" t="s">
        <v>57</v>
      </c>
      <c r="E10" s="91"/>
      <c r="F10" s="36" t="s">
        <v>55</v>
      </c>
    </row>
    <row r="11" spans="2:6" s="3" customFormat="1" ht="17.25" customHeight="1" x14ac:dyDescent="0.2">
      <c r="B11" s="35">
        <v>44676</v>
      </c>
      <c r="C11" s="36" t="s">
        <v>58</v>
      </c>
      <c r="D11" s="90" t="s">
        <v>59</v>
      </c>
      <c r="E11" s="91"/>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88B144-6594-4A1C-9971-82DDC16FB416}">
  <ds:schemaRefs>
    <ds:schemaRef ds:uri="http://schemas.microsoft.com/office/2006/documentManagement/types"/>
    <ds:schemaRef ds:uri="http://purl.org/dc/terms/"/>
    <ds:schemaRef ds:uri="http://schemas.openxmlformats.org/package/2006/metadata/core-properties"/>
    <ds:schemaRef ds:uri="95a45431-a830-452d-8b5d-88fff973ba27"/>
    <ds:schemaRef ds:uri="http://schemas.microsoft.com/office/infopath/2007/PartnerControls"/>
    <ds:schemaRef ds:uri="ff7f7b52-4908-48db-a7b8-5012ac4f8b61"/>
    <ds:schemaRef ds:uri="http://purl.org/dc/elements/1.1/"/>
    <ds:schemaRef ds:uri="http://purl.org/dc/dcmitype/"/>
    <ds:schemaRef ds:uri="http://schemas.microsoft.com/sharepoint/v3"/>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E0C51C86-73A3-4ABC-A766-214D268885DB}">
  <ds:schemaRefs>
    <ds:schemaRef ds:uri="http://schemas.microsoft.com/DataMashup"/>
  </ds:schemaRefs>
</ds:datastoreItem>
</file>

<file path=customXml/itemProps3.xml><?xml version="1.0" encoding="utf-8"?>
<ds:datastoreItem xmlns:ds="http://schemas.openxmlformats.org/officeDocument/2006/customXml" ds:itemID="{F453ED76-64E7-4173-B946-7986C3812662}">
  <ds:schemaRefs>
    <ds:schemaRef ds:uri="http://schemas.microsoft.com/sharepoint/v3/contenttype/forms"/>
  </ds:schemaRefs>
</ds:datastoreItem>
</file>

<file path=customXml/itemProps4.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Company>Caixa Econômica Federal</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Caixa Econômica Federal</dc:creator>
  <cp:lastModifiedBy>Foton</cp:lastModifiedBy>
  <cp:revision/>
  <dcterms:created xsi:type="dcterms:W3CDTF">2009-01-22T19:36:23Z</dcterms:created>
  <dcterms:modified xsi:type="dcterms:W3CDTF">2025-03-12T14:03:17Z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